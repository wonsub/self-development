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odream\Desktop\함수전략\After\Ch-07\"/>
    </mc:Choice>
  </mc:AlternateContent>
  <bookViews>
    <workbookView xWindow="0" yWindow="0" windowWidth="11970" windowHeight="5715"/>
  </bookViews>
  <sheets>
    <sheet name="매입매출" sheetId="1" r:id="rId1"/>
  </sheets>
  <definedNames>
    <definedName name="_xlnm._FilterDatabase" localSheetId="0" hidden="1">매입매출!$B$11:$K$1020</definedName>
    <definedName name="개수">COUNTA(매입매출!$B:$B)-5</definedName>
    <definedName name="매입액">OFFSET(매입매출!$J$11,1,0,개수,1)</definedName>
    <definedName name="매출액">OFFSET(매입매출!$K$11,1,0,개수,1)</definedName>
    <definedName name="옵션1">매입매출!$M$5</definedName>
    <definedName name="옵션2">매입매출!$N$5</definedName>
    <definedName name="일자">OFFSET(매입매출!$B$11,1,0,개수,1)</definedName>
  </definedNames>
  <calcPr calcId="152511"/>
</workbook>
</file>

<file path=xl/calcChain.xml><?xml version="1.0" encoding="utf-8"?>
<calcChain xmlns="http://schemas.openxmlformats.org/spreadsheetml/2006/main">
  <c r="I9" i="1" l="1"/>
  <c r="I8" i="1"/>
  <c r="D9" i="1"/>
  <c r="H1011" i="1"/>
  <c r="I1011" i="1" s="1"/>
  <c r="J1011" i="1"/>
  <c r="H1012" i="1"/>
  <c r="I1012" i="1" s="1"/>
  <c r="J1012" i="1"/>
  <c r="H1013" i="1"/>
  <c r="I1013" i="1" s="1"/>
  <c r="J1013" i="1"/>
  <c r="H1014" i="1"/>
  <c r="I1014" i="1" s="1"/>
  <c r="J1014" i="1"/>
  <c r="H1015" i="1"/>
  <c r="I1015" i="1" s="1"/>
  <c r="J1015" i="1"/>
  <c r="H1016" i="1"/>
  <c r="I1016" i="1" s="1"/>
  <c r="J1016" i="1"/>
  <c r="H1017" i="1"/>
  <c r="I1017" i="1" s="1"/>
  <c r="J1017" i="1"/>
  <c r="H1018" i="1"/>
  <c r="I1018" i="1" s="1"/>
  <c r="J1018" i="1"/>
  <c r="H1019" i="1"/>
  <c r="I1019" i="1" s="1"/>
  <c r="J1019" i="1"/>
  <c r="H1020" i="1"/>
  <c r="I1020" i="1" s="1"/>
  <c r="J1020" i="1"/>
  <c r="H13" i="1"/>
  <c r="J13" i="1"/>
  <c r="H14" i="1"/>
  <c r="I14" i="1" s="1"/>
  <c r="J14" i="1" s="1"/>
  <c r="K14" i="1"/>
  <c r="H15" i="1"/>
  <c r="I15" i="1" s="1"/>
  <c r="J15" i="1" s="1"/>
  <c r="K15" i="1"/>
  <c r="H16" i="1"/>
  <c r="J16" i="1"/>
  <c r="H17" i="1"/>
  <c r="J17" i="1"/>
  <c r="H18" i="1"/>
  <c r="I18" i="1" s="1"/>
  <c r="J18" i="1" s="1"/>
  <c r="K18" i="1"/>
  <c r="H19" i="1"/>
  <c r="I19" i="1" s="1"/>
  <c r="J19" i="1" s="1"/>
  <c r="K19" i="1"/>
  <c r="H20" i="1"/>
  <c r="I20" i="1" s="1"/>
  <c r="J20" i="1" s="1"/>
  <c r="K20" i="1"/>
  <c r="H21" i="1"/>
  <c r="J21" i="1"/>
  <c r="H22" i="1"/>
  <c r="J22" i="1"/>
  <c r="H23" i="1"/>
  <c r="J23" i="1"/>
  <c r="H24" i="1"/>
  <c r="I24" i="1" s="1"/>
  <c r="J24" i="1" s="1"/>
  <c r="K24" i="1"/>
  <c r="H25" i="1"/>
  <c r="I25" i="1" s="1"/>
  <c r="J25" i="1" s="1"/>
  <c r="K25" i="1"/>
  <c r="H26" i="1"/>
  <c r="I26" i="1" s="1"/>
  <c r="J26" i="1" s="1"/>
  <c r="K26" i="1"/>
  <c r="H27" i="1"/>
  <c r="J27" i="1"/>
  <c r="H28" i="1"/>
  <c r="I28" i="1" s="1"/>
  <c r="J28" i="1" s="1"/>
  <c r="K28" i="1"/>
  <c r="H29" i="1"/>
  <c r="J29" i="1"/>
  <c r="H30" i="1"/>
  <c r="J30" i="1"/>
  <c r="H31" i="1"/>
  <c r="J31" i="1"/>
  <c r="H32" i="1"/>
  <c r="J32" i="1"/>
  <c r="H33" i="1"/>
  <c r="I33" i="1" s="1"/>
  <c r="J33" i="1" s="1"/>
  <c r="K33" i="1"/>
  <c r="H34" i="1"/>
  <c r="I34" i="1" s="1"/>
  <c r="J34" i="1" s="1"/>
  <c r="K34" i="1"/>
  <c r="H35" i="1"/>
  <c r="I35" i="1" s="1"/>
  <c r="J35" i="1"/>
  <c r="H36" i="1"/>
  <c r="I36" i="1" s="1"/>
  <c r="J36" i="1" s="1"/>
  <c r="K36" i="1"/>
  <c r="H37" i="1"/>
  <c r="I37" i="1" s="1"/>
  <c r="J37" i="1" s="1"/>
  <c r="K37" i="1"/>
  <c r="H38" i="1"/>
  <c r="J38" i="1"/>
  <c r="H39" i="1"/>
  <c r="I39" i="1" s="1"/>
  <c r="J39" i="1" s="1"/>
  <c r="K39" i="1"/>
  <c r="H40" i="1"/>
  <c r="I40" i="1" s="1"/>
  <c r="J40" i="1" s="1"/>
  <c r="K40" i="1"/>
  <c r="H41" i="1"/>
  <c r="I41" i="1" s="1"/>
  <c r="J41" i="1" s="1"/>
  <c r="K41" i="1"/>
  <c r="H42" i="1"/>
  <c r="I42" i="1" s="1"/>
  <c r="J42" i="1" s="1"/>
  <c r="K42" i="1"/>
  <c r="H43" i="1"/>
  <c r="I43" i="1" s="1"/>
  <c r="J43" i="1" s="1"/>
  <c r="K43" i="1"/>
  <c r="H44" i="1"/>
  <c r="J44" i="1"/>
  <c r="H45" i="1"/>
  <c r="J45" i="1"/>
  <c r="H46" i="1"/>
  <c r="J46" i="1"/>
  <c r="H47" i="1"/>
  <c r="J47" i="1"/>
  <c r="H48" i="1"/>
  <c r="I48" i="1" s="1"/>
  <c r="J48" i="1" s="1"/>
  <c r="K48" i="1"/>
  <c r="H49" i="1"/>
  <c r="I49" i="1" s="1"/>
  <c r="J49" i="1"/>
  <c r="H50" i="1"/>
  <c r="I50" i="1" s="1"/>
  <c r="J50" i="1"/>
  <c r="H51" i="1"/>
  <c r="I51" i="1" s="1"/>
  <c r="J51" i="1" s="1"/>
  <c r="K51" i="1"/>
  <c r="H52" i="1"/>
  <c r="I52" i="1" s="1"/>
  <c r="J52" i="1" s="1"/>
  <c r="K52" i="1"/>
  <c r="H53" i="1"/>
  <c r="J53" i="1"/>
  <c r="H54" i="1"/>
  <c r="I54" i="1" s="1"/>
  <c r="J54" i="1" s="1"/>
  <c r="K54" i="1"/>
  <c r="H55" i="1"/>
  <c r="J55" i="1"/>
  <c r="H56" i="1"/>
  <c r="I56" i="1" s="1"/>
  <c r="J56" i="1" s="1"/>
  <c r="K56" i="1"/>
  <c r="H57" i="1"/>
  <c r="I57" i="1" s="1"/>
  <c r="J57" i="1"/>
  <c r="H58" i="1"/>
  <c r="I58" i="1" s="1"/>
  <c r="J58" i="1" s="1"/>
  <c r="K58" i="1"/>
  <c r="H59" i="1"/>
  <c r="I59" i="1" s="1"/>
  <c r="J59" i="1" s="1"/>
  <c r="K59" i="1"/>
  <c r="H60" i="1"/>
  <c r="I60" i="1" s="1"/>
  <c r="J60" i="1" s="1"/>
  <c r="K60" i="1"/>
  <c r="H61" i="1"/>
  <c r="J61" i="1"/>
  <c r="H62" i="1"/>
  <c r="J62" i="1"/>
  <c r="H63" i="1"/>
  <c r="I63" i="1" s="1"/>
  <c r="J63" i="1" s="1"/>
  <c r="K63" i="1"/>
  <c r="H64" i="1"/>
  <c r="I64" i="1" s="1"/>
  <c r="J64" i="1" s="1"/>
  <c r="K64" i="1"/>
  <c r="H65" i="1"/>
  <c r="I65" i="1" s="1"/>
  <c r="J65" i="1" s="1"/>
  <c r="K65" i="1"/>
  <c r="H66" i="1"/>
  <c r="I66" i="1" s="1"/>
  <c r="J66" i="1" s="1"/>
  <c r="K66" i="1"/>
  <c r="H67" i="1"/>
  <c r="I67" i="1" s="1"/>
  <c r="J67" i="1" s="1"/>
  <c r="K67" i="1"/>
  <c r="H68" i="1"/>
  <c r="I68" i="1" s="1"/>
  <c r="J68" i="1"/>
  <c r="H69" i="1"/>
  <c r="I69" i="1" s="1"/>
  <c r="J69" i="1"/>
  <c r="H70" i="1"/>
  <c r="I70" i="1" s="1"/>
  <c r="J70" i="1" s="1"/>
  <c r="K70" i="1"/>
  <c r="H71" i="1"/>
  <c r="J71" i="1"/>
  <c r="H72" i="1"/>
  <c r="J72" i="1"/>
  <c r="H73" i="1"/>
  <c r="I73" i="1" s="1"/>
  <c r="J73" i="1" s="1"/>
  <c r="K73" i="1"/>
  <c r="H74" i="1"/>
  <c r="I74" i="1" s="1"/>
  <c r="J74" i="1" s="1"/>
  <c r="K74" i="1"/>
  <c r="H75" i="1"/>
  <c r="I75" i="1" s="1"/>
  <c r="J75" i="1" s="1"/>
  <c r="K75" i="1"/>
  <c r="H76" i="1"/>
  <c r="I76" i="1" s="1"/>
  <c r="J76" i="1"/>
  <c r="H77" i="1"/>
  <c r="I77" i="1" s="1"/>
  <c r="J77" i="1"/>
  <c r="H78" i="1"/>
  <c r="I78" i="1" s="1"/>
  <c r="J78" i="1"/>
  <c r="H79" i="1"/>
  <c r="I79" i="1" s="1"/>
  <c r="J79" i="1" s="1"/>
  <c r="K79" i="1"/>
  <c r="H80" i="1"/>
  <c r="I80" i="1" s="1"/>
  <c r="J80" i="1" s="1"/>
  <c r="K80" i="1"/>
  <c r="H81" i="1"/>
  <c r="J81" i="1"/>
  <c r="H82" i="1"/>
  <c r="I82" i="1" s="1"/>
  <c r="J82" i="1" s="1"/>
  <c r="K82" i="1"/>
  <c r="H83" i="1"/>
  <c r="I83" i="1" s="1"/>
  <c r="J83" i="1" s="1"/>
  <c r="K83" i="1"/>
  <c r="H84" i="1"/>
  <c r="I84" i="1" s="1"/>
  <c r="J84" i="1" s="1"/>
  <c r="K84" i="1"/>
  <c r="H85" i="1"/>
  <c r="I85" i="1" s="1"/>
  <c r="J85" i="1" s="1"/>
  <c r="K85" i="1"/>
  <c r="H86" i="1"/>
  <c r="J86" i="1"/>
  <c r="H87" i="1"/>
  <c r="I87" i="1" s="1"/>
  <c r="J87" i="1" s="1"/>
  <c r="K87" i="1"/>
  <c r="H88" i="1"/>
  <c r="I88" i="1" s="1"/>
  <c r="J88" i="1" s="1"/>
  <c r="K88" i="1"/>
  <c r="H89" i="1"/>
  <c r="I89" i="1" s="1"/>
  <c r="J89" i="1" s="1"/>
  <c r="K89" i="1"/>
  <c r="H90" i="1"/>
  <c r="I90" i="1" s="1"/>
  <c r="J90" i="1" s="1"/>
  <c r="K90" i="1"/>
  <c r="H91" i="1"/>
  <c r="J91" i="1"/>
  <c r="H92" i="1"/>
  <c r="I92" i="1" s="1"/>
  <c r="J92" i="1" s="1"/>
  <c r="K92" i="1"/>
  <c r="H93" i="1"/>
  <c r="I93" i="1" s="1"/>
  <c r="J93" i="1" s="1"/>
  <c r="K93" i="1"/>
  <c r="H94" i="1"/>
  <c r="I94" i="1" s="1"/>
  <c r="J94" i="1" s="1"/>
  <c r="K94" i="1"/>
  <c r="H95" i="1"/>
  <c r="J95" i="1"/>
  <c r="H96" i="1"/>
  <c r="J96" i="1"/>
  <c r="H97" i="1"/>
  <c r="J97" i="1"/>
  <c r="H98" i="1"/>
  <c r="J98" i="1"/>
  <c r="H99" i="1"/>
  <c r="I99" i="1" s="1"/>
  <c r="J99" i="1" s="1"/>
  <c r="K99" i="1"/>
  <c r="H100" i="1"/>
  <c r="I100" i="1" s="1"/>
  <c r="J100" i="1" s="1"/>
  <c r="K100" i="1"/>
  <c r="H101" i="1"/>
  <c r="I101" i="1" s="1"/>
  <c r="J101" i="1" s="1"/>
  <c r="K101" i="1"/>
  <c r="H102" i="1"/>
  <c r="I102" i="1" s="1"/>
  <c r="J102" i="1" s="1"/>
  <c r="K102" i="1"/>
  <c r="H103" i="1"/>
  <c r="J103" i="1"/>
  <c r="H104" i="1"/>
  <c r="I104" i="1" s="1"/>
  <c r="J104" i="1" s="1"/>
  <c r="K104" i="1"/>
  <c r="H105" i="1"/>
  <c r="I105" i="1" s="1"/>
  <c r="J105" i="1" s="1"/>
  <c r="K105" i="1"/>
  <c r="H106" i="1"/>
  <c r="I106" i="1" s="1"/>
  <c r="J106" i="1" s="1"/>
  <c r="K106" i="1"/>
  <c r="H107" i="1"/>
  <c r="I107" i="1" s="1"/>
  <c r="J107" i="1"/>
  <c r="H108" i="1"/>
  <c r="I108" i="1" s="1"/>
  <c r="J108" i="1"/>
  <c r="H109" i="1"/>
  <c r="I109" i="1" s="1"/>
  <c r="J109" i="1" s="1"/>
  <c r="K109" i="1"/>
  <c r="H110" i="1"/>
  <c r="I110" i="1" s="1"/>
  <c r="J110" i="1" s="1"/>
  <c r="K110" i="1"/>
  <c r="H111" i="1"/>
  <c r="I111" i="1" s="1"/>
  <c r="J111" i="1" s="1"/>
  <c r="K111" i="1"/>
  <c r="H112" i="1"/>
  <c r="I112" i="1" s="1"/>
  <c r="J112" i="1" s="1"/>
  <c r="K112" i="1"/>
  <c r="H113" i="1"/>
  <c r="I113" i="1" s="1"/>
  <c r="J113" i="1" s="1"/>
  <c r="K113" i="1"/>
  <c r="H114" i="1"/>
  <c r="I114" i="1" s="1"/>
  <c r="J114" i="1" s="1"/>
  <c r="K114" i="1"/>
  <c r="H115" i="1"/>
  <c r="J115" i="1"/>
  <c r="H116" i="1"/>
  <c r="J116" i="1"/>
  <c r="H117" i="1"/>
  <c r="J117" i="1"/>
  <c r="H118" i="1"/>
  <c r="I118" i="1" s="1"/>
  <c r="J118" i="1" s="1"/>
  <c r="K118" i="1"/>
  <c r="H119" i="1"/>
  <c r="I119" i="1" s="1"/>
  <c r="J119" i="1" s="1"/>
  <c r="K119" i="1"/>
  <c r="H120" i="1"/>
  <c r="I120" i="1" s="1"/>
  <c r="J120" i="1" s="1"/>
  <c r="K120" i="1"/>
  <c r="H121" i="1"/>
  <c r="I121" i="1" s="1"/>
  <c r="J121" i="1" s="1"/>
  <c r="K121" i="1"/>
  <c r="H122" i="1"/>
  <c r="J122" i="1"/>
  <c r="H123" i="1"/>
  <c r="I123" i="1" s="1"/>
  <c r="J123" i="1" s="1"/>
  <c r="K123" i="1"/>
  <c r="H124" i="1"/>
  <c r="I124" i="1" s="1"/>
  <c r="J124" i="1" s="1"/>
  <c r="K124" i="1"/>
  <c r="H125" i="1"/>
  <c r="I125" i="1" s="1"/>
  <c r="J125" i="1" s="1"/>
  <c r="K125" i="1"/>
  <c r="H126" i="1"/>
  <c r="I126" i="1" s="1"/>
  <c r="J126" i="1" s="1"/>
  <c r="K126" i="1"/>
  <c r="H127" i="1"/>
  <c r="J127" i="1"/>
  <c r="H128" i="1"/>
  <c r="J128" i="1"/>
  <c r="H129" i="1"/>
  <c r="I129" i="1" s="1"/>
  <c r="J129" i="1" s="1"/>
  <c r="K129" i="1"/>
  <c r="H130" i="1"/>
  <c r="I130" i="1" s="1"/>
  <c r="J130" i="1" s="1"/>
  <c r="K130" i="1"/>
  <c r="H131" i="1"/>
  <c r="I131" i="1" s="1"/>
  <c r="J131" i="1"/>
  <c r="H132" i="1"/>
  <c r="I132" i="1" s="1"/>
  <c r="J132" i="1" s="1"/>
  <c r="K132" i="1"/>
  <c r="H133" i="1"/>
  <c r="I133" i="1" s="1"/>
  <c r="J133" i="1" s="1"/>
  <c r="K133" i="1"/>
  <c r="H134" i="1"/>
  <c r="J134" i="1"/>
  <c r="H135" i="1"/>
  <c r="I135" i="1" s="1"/>
  <c r="J135" i="1" s="1"/>
  <c r="K135" i="1"/>
  <c r="H136" i="1"/>
  <c r="I136" i="1" s="1"/>
  <c r="J136" i="1" s="1"/>
  <c r="K136" i="1"/>
  <c r="H137" i="1"/>
  <c r="I137" i="1" s="1"/>
  <c r="J137" i="1"/>
  <c r="H138" i="1"/>
  <c r="I138" i="1" s="1"/>
  <c r="J138" i="1" s="1"/>
  <c r="K138" i="1"/>
  <c r="H139" i="1"/>
  <c r="J139" i="1"/>
  <c r="H140" i="1"/>
  <c r="I140" i="1" s="1"/>
  <c r="J140" i="1" s="1"/>
  <c r="K140" i="1"/>
  <c r="H141" i="1"/>
  <c r="I141" i="1" s="1"/>
  <c r="J141" i="1" s="1"/>
  <c r="K141" i="1"/>
  <c r="H142" i="1"/>
  <c r="I142" i="1" s="1"/>
  <c r="J142" i="1" s="1"/>
  <c r="K142" i="1"/>
  <c r="H143" i="1"/>
  <c r="I143" i="1" s="1"/>
  <c r="J143" i="1" s="1"/>
  <c r="K143" i="1"/>
  <c r="H144" i="1"/>
  <c r="I144" i="1" s="1"/>
  <c r="J144" i="1" s="1"/>
  <c r="K144" i="1"/>
  <c r="H145" i="1"/>
  <c r="I145" i="1" s="1"/>
  <c r="J145" i="1" s="1"/>
  <c r="K145" i="1"/>
  <c r="H146" i="1"/>
  <c r="J146" i="1"/>
  <c r="H147" i="1"/>
  <c r="J147" i="1"/>
  <c r="H148" i="1"/>
  <c r="I148" i="1" s="1"/>
  <c r="J148" i="1" s="1"/>
  <c r="K148" i="1"/>
  <c r="H149" i="1"/>
  <c r="I149" i="1" s="1"/>
  <c r="J149" i="1" s="1"/>
  <c r="K149" i="1"/>
  <c r="H150" i="1"/>
  <c r="I150" i="1" s="1"/>
  <c r="J150" i="1" s="1"/>
  <c r="K150" i="1"/>
  <c r="H151" i="1"/>
  <c r="J151" i="1"/>
  <c r="H152" i="1"/>
  <c r="I152" i="1" s="1"/>
  <c r="J152" i="1" s="1"/>
  <c r="K152" i="1"/>
  <c r="H153" i="1"/>
  <c r="I153" i="1" s="1"/>
  <c r="J153" i="1" s="1"/>
  <c r="K153" i="1"/>
  <c r="H154" i="1"/>
  <c r="I154" i="1" s="1"/>
  <c r="J154" i="1"/>
  <c r="H155" i="1"/>
  <c r="I155" i="1" s="1"/>
  <c r="J155" i="1" s="1"/>
  <c r="K155" i="1"/>
  <c r="H156" i="1"/>
  <c r="I156" i="1" s="1"/>
  <c r="J156" i="1" s="1"/>
  <c r="K156" i="1"/>
  <c r="H157" i="1"/>
  <c r="J157" i="1"/>
  <c r="H158" i="1"/>
  <c r="J158" i="1"/>
  <c r="H159" i="1"/>
  <c r="J159" i="1"/>
  <c r="H160" i="1"/>
  <c r="I160" i="1" s="1"/>
  <c r="J160" i="1" s="1"/>
  <c r="K160" i="1"/>
  <c r="H161" i="1"/>
  <c r="J161" i="1"/>
  <c r="H162" i="1"/>
  <c r="J162" i="1"/>
  <c r="H163" i="1"/>
  <c r="J163" i="1"/>
  <c r="H164" i="1"/>
  <c r="J164" i="1"/>
  <c r="H165" i="1"/>
  <c r="J165" i="1"/>
  <c r="H166" i="1"/>
  <c r="I166" i="1" s="1"/>
  <c r="J166" i="1" s="1"/>
  <c r="K166" i="1"/>
  <c r="H167" i="1"/>
  <c r="I167" i="1" s="1"/>
  <c r="J167" i="1"/>
  <c r="H168" i="1"/>
  <c r="I168" i="1" s="1"/>
  <c r="J168" i="1" s="1"/>
  <c r="K168" i="1"/>
  <c r="H169" i="1"/>
  <c r="I169" i="1" s="1"/>
  <c r="J169" i="1" s="1"/>
  <c r="K169" i="1"/>
  <c r="H170" i="1"/>
  <c r="J170" i="1"/>
  <c r="H171" i="1"/>
  <c r="J171" i="1"/>
  <c r="H172" i="1"/>
  <c r="J172" i="1"/>
  <c r="H173" i="1"/>
  <c r="J173" i="1"/>
  <c r="H174" i="1"/>
  <c r="J174" i="1"/>
  <c r="H175" i="1"/>
  <c r="J175" i="1"/>
  <c r="H176" i="1"/>
  <c r="J176" i="1"/>
  <c r="H177" i="1"/>
  <c r="I177" i="1" s="1"/>
  <c r="J177" i="1" s="1"/>
  <c r="K177" i="1"/>
  <c r="H178" i="1"/>
  <c r="J178" i="1"/>
  <c r="H179" i="1"/>
  <c r="I179" i="1" s="1"/>
  <c r="J179" i="1" s="1"/>
  <c r="K179" i="1"/>
  <c r="H180" i="1"/>
  <c r="I180" i="1" s="1"/>
  <c r="J180" i="1" s="1"/>
  <c r="K180" i="1"/>
  <c r="H181" i="1"/>
  <c r="J181" i="1"/>
  <c r="H182" i="1"/>
  <c r="J182" i="1"/>
  <c r="H183" i="1"/>
  <c r="I183" i="1" s="1"/>
  <c r="J183" i="1" s="1"/>
  <c r="K183" i="1"/>
  <c r="H184" i="1"/>
  <c r="I184" i="1" s="1"/>
  <c r="J184" i="1"/>
  <c r="K184" i="1"/>
  <c r="H185" i="1"/>
  <c r="I185" i="1" s="1"/>
  <c r="J185" i="1" s="1"/>
  <c r="K185" i="1"/>
  <c r="H186" i="1"/>
  <c r="J186" i="1"/>
  <c r="H187" i="1"/>
  <c r="I187" i="1" s="1"/>
  <c r="J187" i="1" s="1"/>
  <c r="K187" i="1"/>
  <c r="H188" i="1"/>
  <c r="I188" i="1" s="1"/>
  <c r="J188" i="1"/>
  <c r="H189" i="1"/>
  <c r="I189" i="1" s="1"/>
  <c r="J189" i="1"/>
  <c r="H190" i="1"/>
  <c r="I190" i="1" s="1"/>
  <c r="J190" i="1" s="1"/>
  <c r="K190" i="1"/>
  <c r="H191" i="1"/>
  <c r="J191" i="1"/>
  <c r="H192" i="1"/>
  <c r="I192" i="1" s="1"/>
  <c r="J192" i="1" s="1"/>
  <c r="K192" i="1"/>
  <c r="H193" i="1"/>
  <c r="I193" i="1" s="1"/>
  <c r="J193" i="1" s="1"/>
  <c r="K193" i="1"/>
  <c r="H194" i="1"/>
  <c r="J194" i="1"/>
  <c r="H195" i="1"/>
  <c r="J195" i="1"/>
  <c r="H196" i="1"/>
  <c r="J196" i="1"/>
  <c r="H197" i="1"/>
  <c r="J197" i="1"/>
  <c r="H198" i="1"/>
  <c r="I198" i="1" s="1"/>
  <c r="J198" i="1" s="1"/>
  <c r="K198" i="1"/>
  <c r="H199" i="1"/>
  <c r="I199" i="1" s="1"/>
  <c r="J199" i="1"/>
  <c r="H200" i="1"/>
  <c r="I200" i="1" s="1"/>
  <c r="J200" i="1"/>
  <c r="H201" i="1"/>
  <c r="I201" i="1" s="1"/>
  <c r="J201" i="1"/>
  <c r="H202" i="1"/>
  <c r="I202" i="1" s="1"/>
  <c r="J202" i="1" s="1"/>
  <c r="K202" i="1"/>
  <c r="H203" i="1"/>
  <c r="I203" i="1" s="1"/>
  <c r="J203" i="1" s="1"/>
  <c r="K203" i="1"/>
  <c r="H204" i="1"/>
  <c r="I204" i="1" s="1"/>
  <c r="J204" i="1"/>
  <c r="H205" i="1"/>
  <c r="I205" i="1" s="1"/>
  <c r="J205" i="1" s="1"/>
  <c r="K205" i="1"/>
  <c r="H206" i="1"/>
  <c r="I206" i="1" s="1"/>
  <c r="J206" i="1" s="1"/>
  <c r="K206" i="1"/>
  <c r="H207" i="1"/>
  <c r="I207" i="1" s="1"/>
  <c r="J207" i="1" s="1"/>
  <c r="K207" i="1"/>
  <c r="H208" i="1"/>
  <c r="J208" i="1"/>
  <c r="H209" i="1"/>
  <c r="I209" i="1" s="1"/>
  <c r="J209" i="1" s="1"/>
  <c r="K209" i="1"/>
  <c r="H210" i="1"/>
  <c r="I210" i="1" s="1"/>
  <c r="J210" i="1" s="1"/>
  <c r="K210" i="1"/>
  <c r="H211" i="1"/>
  <c r="J211" i="1"/>
  <c r="H212" i="1"/>
  <c r="J212" i="1"/>
  <c r="H213" i="1"/>
  <c r="I213" i="1" s="1"/>
  <c r="J213" i="1" s="1"/>
  <c r="K213" i="1"/>
  <c r="H214" i="1"/>
  <c r="I214" i="1" s="1"/>
  <c r="J214" i="1" s="1"/>
  <c r="K214" i="1"/>
  <c r="H215" i="1"/>
  <c r="J215" i="1"/>
  <c r="H216" i="1"/>
  <c r="I216" i="1" s="1"/>
  <c r="J216" i="1" s="1"/>
  <c r="K216" i="1"/>
  <c r="H217" i="1"/>
  <c r="I217" i="1" s="1"/>
  <c r="J217" i="1" s="1"/>
  <c r="K217" i="1"/>
  <c r="H218" i="1"/>
  <c r="I218" i="1" s="1"/>
  <c r="J218" i="1" s="1"/>
  <c r="K218" i="1"/>
  <c r="H219" i="1"/>
  <c r="I219" i="1" s="1"/>
  <c r="J219" i="1"/>
  <c r="H220" i="1"/>
  <c r="I220" i="1" s="1"/>
  <c r="J220" i="1"/>
  <c r="H221" i="1"/>
  <c r="I221" i="1" s="1"/>
  <c r="J221" i="1" s="1"/>
  <c r="K221" i="1"/>
  <c r="H222" i="1"/>
  <c r="I222" i="1" s="1"/>
  <c r="J222" i="1" s="1"/>
  <c r="K222" i="1"/>
  <c r="H223" i="1"/>
  <c r="I223" i="1" s="1"/>
  <c r="J223" i="1" s="1"/>
  <c r="K223" i="1"/>
  <c r="H224" i="1"/>
  <c r="I224" i="1" s="1"/>
  <c r="J224" i="1" s="1"/>
  <c r="K224" i="1"/>
  <c r="H225" i="1"/>
  <c r="I225" i="1" s="1"/>
  <c r="J225" i="1" s="1"/>
  <c r="K225" i="1"/>
  <c r="H226" i="1"/>
  <c r="I226" i="1" s="1"/>
  <c r="J226" i="1" s="1"/>
  <c r="K226" i="1"/>
  <c r="H227" i="1"/>
  <c r="I227" i="1" s="1"/>
  <c r="J227" i="1" s="1"/>
  <c r="K227" i="1"/>
  <c r="H228" i="1"/>
  <c r="J228" i="1"/>
  <c r="H229" i="1"/>
  <c r="J229" i="1"/>
  <c r="H230" i="1"/>
  <c r="I230" i="1" s="1"/>
  <c r="J230" i="1" s="1"/>
  <c r="K230" i="1"/>
  <c r="H231" i="1"/>
  <c r="I231" i="1" s="1"/>
  <c r="J231" i="1" s="1"/>
  <c r="K231" i="1"/>
  <c r="H232" i="1"/>
  <c r="I232" i="1" s="1"/>
  <c r="J232" i="1" s="1"/>
  <c r="K232" i="1"/>
  <c r="H233" i="1"/>
  <c r="I233" i="1" s="1"/>
  <c r="J233" i="1" s="1"/>
  <c r="K233" i="1"/>
  <c r="H234" i="1"/>
  <c r="J234" i="1"/>
  <c r="H235" i="1"/>
  <c r="I235" i="1" s="1"/>
  <c r="J235" i="1" s="1"/>
  <c r="K235" i="1"/>
  <c r="H236" i="1"/>
  <c r="I236" i="1" s="1"/>
  <c r="J236" i="1" s="1"/>
  <c r="K236" i="1"/>
  <c r="H237" i="1"/>
  <c r="J237" i="1"/>
  <c r="H238" i="1"/>
  <c r="I238" i="1" s="1"/>
  <c r="J238" i="1" s="1"/>
  <c r="K238" i="1"/>
  <c r="H239" i="1"/>
  <c r="I239" i="1" s="1"/>
  <c r="J239" i="1" s="1"/>
  <c r="K239" i="1"/>
  <c r="H240" i="1"/>
  <c r="I240" i="1" s="1"/>
  <c r="J240" i="1" s="1"/>
  <c r="K240" i="1"/>
  <c r="H241" i="1"/>
  <c r="I241" i="1" s="1"/>
  <c r="J241" i="1"/>
  <c r="H242" i="1"/>
  <c r="I242" i="1" s="1"/>
  <c r="J242" i="1"/>
  <c r="H243" i="1"/>
  <c r="I243" i="1" s="1"/>
  <c r="J243" i="1" s="1"/>
  <c r="K243" i="1"/>
  <c r="H244" i="1"/>
  <c r="I244" i="1" s="1"/>
  <c r="J244" i="1" s="1"/>
  <c r="K244" i="1"/>
  <c r="H245" i="1"/>
  <c r="I245" i="1" s="1"/>
  <c r="J245" i="1" s="1"/>
  <c r="K245" i="1"/>
  <c r="H246" i="1"/>
  <c r="I246" i="1" s="1"/>
  <c r="J246" i="1" s="1"/>
  <c r="K246" i="1"/>
  <c r="H247" i="1"/>
  <c r="I247" i="1" s="1"/>
  <c r="J247" i="1"/>
  <c r="H248" i="1"/>
  <c r="I248" i="1" s="1"/>
  <c r="J248" i="1" s="1"/>
  <c r="K248" i="1"/>
  <c r="H249" i="1"/>
  <c r="J249" i="1"/>
  <c r="H250" i="1"/>
  <c r="J250" i="1"/>
  <c r="H251" i="1"/>
  <c r="I251" i="1" s="1"/>
  <c r="J251" i="1" s="1"/>
  <c r="K251" i="1"/>
  <c r="H252" i="1"/>
  <c r="I252" i="1" s="1"/>
  <c r="J252" i="1" s="1"/>
  <c r="K252" i="1"/>
  <c r="H253" i="1"/>
  <c r="I253" i="1" s="1"/>
  <c r="J253" i="1" s="1"/>
  <c r="K253" i="1"/>
  <c r="H254" i="1"/>
  <c r="I254" i="1" s="1"/>
  <c r="J254" i="1" s="1"/>
  <c r="K254" i="1"/>
  <c r="H255" i="1"/>
  <c r="J255" i="1"/>
  <c r="H256" i="1"/>
  <c r="I256" i="1" s="1"/>
  <c r="J256" i="1" s="1"/>
  <c r="K256" i="1"/>
  <c r="H257" i="1"/>
  <c r="I257" i="1" s="1"/>
  <c r="J257" i="1" s="1"/>
  <c r="K257" i="1"/>
  <c r="H258" i="1"/>
  <c r="I258" i="1" s="1"/>
  <c r="J258" i="1" s="1"/>
  <c r="K258" i="1"/>
  <c r="H259" i="1"/>
  <c r="I259" i="1" s="1"/>
  <c r="J259" i="1"/>
  <c r="H260" i="1"/>
  <c r="I260" i="1" s="1"/>
  <c r="J260" i="1"/>
  <c r="H261" i="1"/>
  <c r="I261" i="1" s="1"/>
  <c r="J261" i="1" s="1"/>
  <c r="K261" i="1"/>
  <c r="H262" i="1"/>
  <c r="I262" i="1" s="1"/>
  <c r="J262" i="1" s="1"/>
  <c r="K262" i="1"/>
  <c r="H263" i="1"/>
  <c r="J263" i="1"/>
  <c r="H264" i="1"/>
  <c r="J264" i="1"/>
  <c r="H265" i="1"/>
  <c r="I265" i="1" s="1"/>
  <c r="J265" i="1" s="1"/>
  <c r="K265" i="1"/>
  <c r="H266" i="1"/>
  <c r="I266" i="1" s="1"/>
  <c r="J266" i="1"/>
  <c r="H267" i="1"/>
  <c r="I267" i="1" s="1"/>
  <c r="J267" i="1"/>
  <c r="H268" i="1"/>
  <c r="I268" i="1" s="1"/>
  <c r="J268" i="1" s="1"/>
  <c r="K268" i="1"/>
  <c r="H269" i="1"/>
  <c r="I269" i="1" s="1"/>
  <c r="J269" i="1" s="1"/>
  <c r="K269" i="1"/>
  <c r="H270" i="1"/>
  <c r="I270" i="1" s="1"/>
  <c r="J270" i="1" s="1"/>
  <c r="K270" i="1"/>
  <c r="H271" i="1"/>
  <c r="I271" i="1" s="1"/>
  <c r="J271" i="1" s="1"/>
  <c r="K271" i="1"/>
  <c r="H272" i="1"/>
  <c r="I272" i="1" s="1"/>
  <c r="J272" i="1"/>
  <c r="H273" i="1"/>
  <c r="I273" i="1" s="1"/>
  <c r="J273" i="1"/>
  <c r="H274" i="1"/>
  <c r="I274" i="1" s="1"/>
  <c r="J274" i="1" s="1"/>
  <c r="K274" i="1"/>
  <c r="H275" i="1"/>
  <c r="I275" i="1" s="1"/>
  <c r="J275" i="1" s="1"/>
  <c r="K275" i="1"/>
  <c r="H276" i="1"/>
  <c r="I276" i="1" s="1"/>
  <c r="J276" i="1" s="1"/>
  <c r="K276" i="1"/>
  <c r="H277" i="1"/>
  <c r="J277" i="1"/>
  <c r="H278" i="1"/>
  <c r="J278" i="1"/>
  <c r="H279" i="1"/>
  <c r="I279" i="1" s="1"/>
  <c r="J279" i="1" s="1"/>
  <c r="K279" i="1"/>
  <c r="H280" i="1"/>
  <c r="I280" i="1" s="1"/>
  <c r="J280" i="1" s="1"/>
  <c r="K280" i="1"/>
  <c r="H281" i="1"/>
  <c r="J281" i="1"/>
  <c r="H282" i="1"/>
  <c r="I282" i="1" s="1"/>
  <c r="J282" i="1" s="1"/>
  <c r="K282" i="1"/>
  <c r="H283" i="1"/>
  <c r="I283" i="1" s="1"/>
  <c r="J283" i="1" s="1"/>
  <c r="K283" i="1"/>
  <c r="H284" i="1"/>
  <c r="I284" i="1" s="1"/>
  <c r="J284" i="1" s="1"/>
  <c r="K284" i="1"/>
  <c r="H285" i="1"/>
  <c r="I285" i="1" s="1"/>
  <c r="J285" i="1" s="1"/>
  <c r="K285" i="1"/>
  <c r="H286" i="1"/>
  <c r="J286" i="1"/>
  <c r="H287" i="1"/>
  <c r="I287" i="1" s="1"/>
  <c r="J287" i="1" s="1"/>
  <c r="K287" i="1"/>
  <c r="H288" i="1"/>
  <c r="I288" i="1" s="1"/>
  <c r="J288" i="1"/>
  <c r="H289" i="1"/>
  <c r="I289" i="1" s="1"/>
  <c r="J289" i="1" s="1"/>
  <c r="K289" i="1"/>
  <c r="H290" i="1"/>
  <c r="I290" i="1" s="1"/>
  <c r="J290" i="1" s="1"/>
  <c r="K290" i="1"/>
  <c r="H291" i="1"/>
  <c r="I291" i="1" s="1"/>
  <c r="J291" i="1"/>
  <c r="H292" i="1"/>
  <c r="I292" i="1" s="1"/>
  <c r="J292" i="1"/>
  <c r="H293" i="1"/>
  <c r="I293" i="1" s="1"/>
  <c r="J293" i="1"/>
  <c r="H294" i="1"/>
  <c r="I294" i="1" s="1"/>
  <c r="J294" i="1" s="1"/>
  <c r="K294" i="1"/>
  <c r="H295" i="1"/>
  <c r="I295" i="1" s="1"/>
  <c r="J295" i="1" s="1"/>
  <c r="K295" i="1"/>
  <c r="H296" i="1"/>
  <c r="I296" i="1" s="1"/>
  <c r="J296" i="1"/>
  <c r="H297" i="1"/>
  <c r="I297" i="1" s="1"/>
  <c r="J297" i="1" s="1"/>
  <c r="K297" i="1"/>
  <c r="H298" i="1"/>
  <c r="I298" i="1" s="1"/>
  <c r="J298" i="1" s="1"/>
  <c r="K298" i="1"/>
  <c r="H299" i="1"/>
  <c r="I299" i="1" s="1"/>
  <c r="J299" i="1" s="1"/>
  <c r="K299" i="1"/>
  <c r="H300" i="1"/>
  <c r="J300" i="1"/>
  <c r="H301" i="1"/>
  <c r="I301" i="1" s="1"/>
  <c r="J301" i="1" s="1"/>
  <c r="K301" i="1"/>
  <c r="H302" i="1"/>
  <c r="I302" i="1" s="1"/>
  <c r="J302" i="1" s="1"/>
  <c r="K302" i="1"/>
  <c r="H303" i="1"/>
  <c r="I303" i="1" s="1"/>
  <c r="J303" i="1" s="1"/>
  <c r="K303" i="1"/>
  <c r="H304" i="1"/>
  <c r="I304" i="1" s="1"/>
  <c r="J304" i="1" s="1"/>
  <c r="K304" i="1"/>
  <c r="H305" i="1"/>
  <c r="I305" i="1" s="1"/>
  <c r="J305" i="1" s="1"/>
  <c r="K305" i="1"/>
  <c r="H306" i="1"/>
  <c r="I306" i="1" s="1"/>
  <c r="J306" i="1" s="1"/>
  <c r="K306" i="1"/>
  <c r="H307" i="1"/>
  <c r="J307" i="1"/>
  <c r="H308" i="1"/>
  <c r="I308" i="1" s="1"/>
  <c r="J308" i="1" s="1"/>
  <c r="K308" i="1"/>
  <c r="H309" i="1"/>
  <c r="I309" i="1" s="1"/>
  <c r="J309" i="1"/>
  <c r="H310" i="1"/>
  <c r="I310" i="1" s="1"/>
  <c r="J310" i="1"/>
  <c r="H311" i="1"/>
  <c r="I311" i="1" s="1"/>
  <c r="J311" i="1" s="1"/>
  <c r="K311" i="1"/>
  <c r="H312" i="1"/>
  <c r="I312" i="1" s="1"/>
  <c r="J312" i="1" s="1"/>
  <c r="K312" i="1"/>
  <c r="H313" i="1"/>
  <c r="I313" i="1" s="1"/>
  <c r="J313" i="1" s="1"/>
  <c r="K313" i="1"/>
  <c r="H314" i="1"/>
  <c r="J314" i="1"/>
  <c r="H315" i="1"/>
  <c r="J315" i="1"/>
  <c r="H316" i="1"/>
  <c r="I316" i="1" s="1"/>
  <c r="J316" i="1" s="1"/>
  <c r="K316" i="1"/>
  <c r="H317" i="1"/>
  <c r="I317" i="1" s="1"/>
  <c r="J317" i="1" s="1"/>
  <c r="K317" i="1"/>
  <c r="H318" i="1"/>
  <c r="I318" i="1" s="1"/>
  <c r="J318" i="1" s="1"/>
  <c r="K318" i="1"/>
  <c r="H319" i="1"/>
  <c r="I319" i="1" s="1"/>
  <c r="J319" i="1" s="1"/>
  <c r="K319" i="1"/>
  <c r="H320" i="1"/>
  <c r="I320" i="1" s="1"/>
  <c r="J320" i="1" s="1"/>
  <c r="K320" i="1"/>
  <c r="H321" i="1"/>
  <c r="I321" i="1" s="1"/>
  <c r="J321" i="1" s="1"/>
  <c r="K321" i="1"/>
  <c r="H322" i="1"/>
  <c r="I322" i="1" s="1"/>
  <c r="J322" i="1" s="1"/>
  <c r="K322" i="1"/>
  <c r="H323" i="1"/>
  <c r="I323" i="1" s="1"/>
  <c r="J323" i="1" s="1"/>
  <c r="K323" i="1"/>
  <c r="H324" i="1"/>
  <c r="I324" i="1" s="1"/>
  <c r="J324" i="1" s="1"/>
  <c r="K324" i="1"/>
  <c r="H325" i="1"/>
  <c r="I325" i="1" s="1"/>
  <c r="J325" i="1" s="1"/>
  <c r="K325" i="1"/>
  <c r="H326" i="1"/>
  <c r="J326" i="1"/>
  <c r="H327" i="1"/>
  <c r="I327" i="1" s="1"/>
  <c r="J327" i="1" s="1"/>
  <c r="K327" i="1"/>
  <c r="H328" i="1"/>
  <c r="I328" i="1" s="1"/>
  <c r="J328" i="1"/>
  <c r="H329" i="1"/>
  <c r="I329" i="1" s="1"/>
  <c r="J329" i="1"/>
  <c r="H330" i="1"/>
  <c r="I330" i="1" s="1"/>
  <c r="J330" i="1" s="1"/>
  <c r="K330" i="1"/>
  <c r="H331" i="1"/>
  <c r="I331" i="1" s="1"/>
  <c r="J331" i="1" s="1"/>
  <c r="K331" i="1"/>
  <c r="H332" i="1"/>
  <c r="I332" i="1" s="1"/>
  <c r="J332" i="1" s="1"/>
  <c r="K332" i="1"/>
  <c r="H333" i="1"/>
  <c r="I333" i="1" s="1"/>
  <c r="J333" i="1" s="1"/>
  <c r="K333" i="1"/>
  <c r="H334" i="1"/>
  <c r="I334" i="1" s="1"/>
  <c r="J334" i="1" s="1"/>
  <c r="K334" i="1"/>
  <c r="H335" i="1"/>
  <c r="I335" i="1" s="1"/>
  <c r="J335" i="1" s="1"/>
  <c r="K335" i="1"/>
  <c r="H336" i="1"/>
  <c r="I336" i="1" s="1"/>
  <c r="J336" i="1" s="1"/>
  <c r="K336" i="1"/>
  <c r="H337" i="1"/>
  <c r="J337" i="1"/>
  <c r="H338" i="1"/>
  <c r="I338" i="1" s="1"/>
  <c r="J338" i="1" s="1"/>
  <c r="K338" i="1"/>
  <c r="H339" i="1"/>
  <c r="I339" i="1" s="1"/>
  <c r="J339" i="1"/>
  <c r="H340" i="1"/>
  <c r="I340" i="1" s="1"/>
  <c r="J340" i="1"/>
  <c r="H341" i="1"/>
  <c r="I341" i="1" s="1"/>
  <c r="J341" i="1"/>
  <c r="H342" i="1"/>
  <c r="I342" i="1" s="1"/>
  <c r="J342" i="1" s="1"/>
  <c r="K342" i="1"/>
  <c r="H343" i="1"/>
  <c r="I343" i="1" s="1"/>
  <c r="J343" i="1" s="1"/>
  <c r="K343" i="1"/>
  <c r="H344" i="1"/>
  <c r="J344" i="1"/>
  <c r="H345" i="1"/>
  <c r="I345" i="1" s="1"/>
  <c r="J345" i="1" s="1"/>
  <c r="K345" i="1"/>
  <c r="H346" i="1"/>
  <c r="J346" i="1"/>
  <c r="H347" i="1"/>
  <c r="J347" i="1"/>
  <c r="H348" i="1"/>
  <c r="J348" i="1"/>
  <c r="H349" i="1"/>
  <c r="J349" i="1"/>
  <c r="H350" i="1"/>
  <c r="I350" i="1" s="1"/>
  <c r="J350" i="1" s="1"/>
  <c r="K350" i="1"/>
  <c r="H351" i="1"/>
  <c r="I351" i="1" s="1"/>
  <c r="J351" i="1"/>
  <c r="H352" i="1"/>
  <c r="I352" i="1" s="1"/>
  <c r="J352" i="1" s="1"/>
  <c r="K352" i="1"/>
  <c r="H353" i="1"/>
  <c r="I353" i="1" s="1"/>
  <c r="J353" i="1" s="1"/>
  <c r="K353" i="1"/>
  <c r="H354" i="1"/>
  <c r="I354" i="1" s="1"/>
  <c r="J354" i="1"/>
  <c r="H355" i="1"/>
  <c r="I355" i="1" s="1"/>
  <c r="J355" i="1"/>
  <c r="H356" i="1"/>
  <c r="I356" i="1" s="1"/>
  <c r="J356" i="1" s="1"/>
  <c r="K356" i="1"/>
  <c r="H357" i="1"/>
  <c r="I357" i="1" s="1"/>
  <c r="J357" i="1" s="1"/>
  <c r="K357" i="1"/>
  <c r="H358" i="1"/>
  <c r="I358" i="1" s="1"/>
  <c r="J358" i="1"/>
  <c r="H359" i="1"/>
  <c r="I359" i="1" s="1"/>
  <c r="J359" i="1" s="1"/>
  <c r="K359" i="1"/>
  <c r="H360" i="1"/>
  <c r="I360" i="1" s="1"/>
  <c r="J360" i="1" s="1"/>
  <c r="K360" i="1"/>
  <c r="H361" i="1"/>
  <c r="I361" i="1" s="1"/>
  <c r="J361" i="1" s="1"/>
  <c r="K361" i="1"/>
  <c r="H362" i="1"/>
  <c r="J362" i="1"/>
  <c r="H363" i="1"/>
  <c r="J363" i="1"/>
  <c r="H364" i="1"/>
  <c r="I364" i="1" s="1"/>
  <c r="J364" i="1" s="1"/>
  <c r="K364" i="1"/>
  <c r="H365" i="1"/>
  <c r="I365" i="1" s="1"/>
  <c r="J365" i="1" s="1"/>
  <c r="K365" i="1"/>
  <c r="H366" i="1"/>
  <c r="J366" i="1"/>
  <c r="H367" i="1"/>
  <c r="I367" i="1" s="1"/>
  <c r="J367" i="1" s="1"/>
  <c r="K367" i="1"/>
  <c r="H368" i="1"/>
  <c r="I368" i="1" s="1"/>
  <c r="J368" i="1"/>
  <c r="H369" i="1"/>
  <c r="I369" i="1" s="1"/>
  <c r="J369" i="1" s="1"/>
  <c r="K369" i="1"/>
  <c r="H370" i="1"/>
  <c r="I370" i="1" s="1"/>
  <c r="J370" i="1" s="1"/>
  <c r="K370" i="1"/>
  <c r="H371" i="1"/>
  <c r="I371" i="1" s="1"/>
  <c r="J371" i="1" s="1"/>
  <c r="K371" i="1"/>
  <c r="H372" i="1"/>
  <c r="J372" i="1"/>
  <c r="H373" i="1"/>
  <c r="J373" i="1"/>
  <c r="H374" i="1"/>
  <c r="I374" i="1" s="1"/>
  <c r="J374" i="1" s="1"/>
  <c r="K374" i="1"/>
  <c r="H375" i="1"/>
  <c r="J375" i="1"/>
  <c r="H376" i="1"/>
  <c r="J376" i="1"/>
  <c r="H377" i="1"/>
  <c r="J377" i="1"/>
  <c r="H378" i="1"/>
  <c r="J378" i="1"/>
  <c r="H379" i="1"/>
  <c r="I379" i="1" s="1"/>
  <c r="J379" i="1" s="1"/>
  <c r="K379" i="1"/>
  <c r="H380" i="1"/>
  <c r="I380" i="1" s="1"/>
  <c r="J380" i="1" s="1"/>
  <c r="K380" i="1"/>
  <c r="H381" i="1"/>
  <c r="I381" i="1" s="1"/>
  <c r="J381" i="1" s="1"/>
  <c r="K381" i="1"/>
  <c r="H382" i="1"/>
  <c r="I382" i="1" s="1"/>
  <c r="J382" i="1" s="1"/>
  <c r="K382" i="1"/>
  <c r="H383" i="1"/>
  <c r="I383" i="1" s="1"/>
  <c r="J383" i="1" s="1"/>
  <c r="K383" i="1"/>
  <c r="H384" i="1"/>
  <c r="J384" i="1"/>
  <c r="H385" i="1"/>
  <c r="J385" i="1"/>
  <c r="H386" i="1"/>
  <c r="J386" i="1"/>
  <c r="H387" i="1"/>
  <c r="J387" i="1"/>
  <c r="H388" i="1"/>
  <c r="I388" i="1" s="1"/>
  <c r="J388" i="1" s="1"/>
  <c r="K388" i="1"/>
  <c r="H389" i="1"/>
  <c r="I389" i="1" s="1"/>
  <c r="J389" i="1" s="1"/>
  <c r="K389" i="1"/>
  <c r="H390" i="1"/>
  <c r="J390" i="1"/>
  <c r="H391" i="1"/>
  <c r="J391" i="1"/>
  <c r="H392" i="1"/>
  <c r="J392" i="1"/>
  <c r="H393" i="1"/>
  <c r="J393" i="1"/>
  <c r="H394" i="1"/>
  <c r="J394" i="1"/>
  <c r="H395" i="1"/>
  <c r="J395" i="1"/>
  <c r="H396" i="1"/>
  <c r="J396" i="1"/>
  <c r="H397" i="1"/>
  <c r="J397" i="1"/>
  <c r="H398" i="1"/>
  <c r="J398" i="1"/>
  <c r="H399" i="1"/>
  <c r="I399" i="1" s="1"/>
  <c r="J399" i="1" s="1"/>
  <c r="K399" i="1"/>
  <c r="H400" i="1"/>
  <c r="I400" i="1" s="1"/>
  <c r="J400" i="1" s="1"/>
  <c r="K400" i="1"/>
  <c r="H401" i="1"/>
  <c r="J401" i="1"/>
  <c r="H402" i="1"/>
  <c r="J402" i="1"/>
  <c r="H403" i="1"/>
  <c r="J403" i="1"/>
  <c r="H404" i="1"/>
  <c r="I404" i="1" s="1"/>
  <c r="J404" i="1" s="1"/>
  <c r="K404" i="1"/>
  <c r="H405" i="1"/>
  <c r="I405" i="1" s="1"/>
  <c r="J405" i="1" s="1"/>
  <c r="K405" i="1"/>
  <c r="H406" i="1"/>
  <c r="I406" i="1" s="1"/>
  <c r="J406" i="1" s="1"/>
  <c r="K406" i="1"/>
  <c r="H407" i="1"/>
  <c r="I407" i="1" s="1"/>
  <c r="J407" i="1" s="1"/>
  <c r="K407" i="1"/>
  <c r="H408" i="1"/>
  <c r="J408" i="1"/>
  <c r="H409" i="1"/>
  <c r="J409" i="1"/>
  <c r="H410" i="1"/>
  <c r="I410" i="1" s="1"/>
  <c r="J410" i="1" s="1"/>
  <c r="K410" i="1"/>
  <c r="H411" i="1"/>
  <c r="I411" i="1" s="1"/>
  <c r="J411" i="1" s="1"/>
  <c r="K411" i="1"/>
  <c r="H412" i="1"/>
  <c r="J412" i="1"/>
  <c r="H413" i="1"/>
  <c r="J413" i="1"/>
  <c r="H414" i="1"/>
  <c r="J414" i="1"/>
  <c r="H415" i="1"/>
  <c r="I415" i="1" s="1"/>
  <c r="J415" i="1" s="1"/>
  <c r="K415" i="1"/>
  <c r="H416" i="1"/>
  <c r="I416" i="1" s="1"/>
  <c r="J416" i="1" s="1"/>
  <c r="K416" i="1"/>
  <c r="H417" i="1"/>
  <c r="J417" i="1"/>
  <c r="H418" i="1"/>
  <c r="J418" i="1"/>
  <c r="H419" i="1"/>
  <c r="I419" i="1" s="1"/>
  <c r="J419" i="1" s="1"/>
  <c r="K419" i="1"/>
  <c r="H420" i="1"/>
  <c r="I420" i="1" s="1"/>
  <c r="J420" i="1" s="1"/>
  <c r="K420" i="1"/>
  <c r="H421" i="1"/>
  <c r="I421" i="1" s="1"/>
  <c r="J421" i="1" s="1"/>
  <c r="K421" i="1"/>
  <c r="H422" i="1"/>
  <c r="I422" i="1" s="1"/>
  <c r="J422" i="1" s="1"/>
  <c r="K422" i="1"/>
  <c r="H423" i="1"/>
  <c r="I423" i="1" s="1"/>
  <c r="J423" i="1" s="1"/>
  <c r="K423" i="1"/>
  <c r="H424" i="1"/>
  <c r="I424" i="1" s="1"/>
  <c r="J424" i="1" s="1"/>
  <c r="K424" i="1"/>
  <c r="H425" i="1"/>
  <c r="J425" i="1"/>
  <c r="H426" i="1"/>
  <c r="J426" i="1"/>
  <c r="H427" i="1"/>
  <c r="J427" i="1"/>
  <c r="H428" i="1"/>
  <c r="J428" i="1"/>
  <c r="H429" i="1"/>
  <c r="J429" i="1"/>
  <c r="H430" i="1"/>
  <c r="J430" i="1"/>
  <c r="H431" i="1"/>
  <c r="I431" i="1" s="1"/>
  <c r="J431" i="1" s="1"/>
  <c r="K431" i="1"/>
  <c r="H432" i="1"/>
  <c r="I432" i="1" s="1"/>
  <c r="J432" i="1" s="1"/>
  <c r="K432" i="1"/>
  <c r="H433" i="1"/>
  <c r="I433" i="1" s="1"/>
  <c r="J433" i="1" s="1"/>
  <c r="K433" i="1"/>
  <c r="H434" i="1"/>
  <c r="I434" i="1" s="1"/>
  <c r="J434" i="1"/>
  <c r="H435" i="1"/>
  <c r="I435" i="1" s="1"/>
  <c r="J435" i="1" s="1"/>
  <c r="K435" i="1"/>
  <c r="H436" i="1"/>
  <c r="I436" i="1" s="1"/>
  <c r="J436" i="1" s="1"/>
  <c r="K436" i="1"/>
  <c r="H437" i="1"/>
  <c r="I437" i="1"/>
  <c r="J437" i="1" s="1"/>
  <c r="K437" i="1"/>
  <c r="H438" i="1"/>
  <c r="J438" i="1"/>
  <c r="H439" i="1"/>
  <c r="I439" i="1" s="1"/>
  <c r="J439" i="1" s="1"/>
  <c r="K439" i="1"/>
  <c r="H440" i="1"/>
  <c r="I440" i="1" s="1"/>
  <c r="J440" i="1" s="1"/>
  <c r="K440" i="1"/>
  <c r="H441" i="1"/>
  <c r="I441" i="1" s="1"/>
  <c r="J441" i="1" s="1"/>
  <c r="K441" i="1"/>
  <c r="H442" i="1"/>
  <c r="I442" i="1" s="1"/>
  <c r="J442" i="1" s="1"/>
  <c r="K442" i="1"/>
  <c r="H443" i="1"/>
  <c r="I443" i="1" s="1"/>
  <c r="J443" i="1" s="1"/>
  <c r="K443" i="1"/>
  <c r="H444" i="1"/>
  <c r="I444" i="1" s="1"/>
  <c r="J444" i="1" s="1"/>
  <c r="K444" i="1"/>
  <c r="H445" i="1"/>
  <c r="J445" i="1"/>
  <c r="H446" i="1"/>
  <c r="I446" i="1" s="1"/>
  <c r="J446" i="1" s="1"/>
  <c r="K446" i="1"/>
  <c r="H447" i="1"/>
  <c r="I447" i="1" s="1"/>
  <c r="J447" i="1" s="1"/>
  <c r="K447" i="1"/>
  <c r="H448" i="1"/>
  <c r="I448" i="1" s="1"/>
  <c r="J448" i="1" s="1"/>
  <c r="K448" i="1"/>
  <c r="H449" i="1"/>
  <c r="I449" i="1" s="1"/>
  <c r="J449" i="1" s="1"/>
  <c r="K449" i="1"/>
  <c r="H450" i="1"/>
  <c r="J450" i="1"/>
  <c r="H451" i="1"/>
  <c r="J451" i="1"/>
  <c r="H452" i="1"/>
  <c r="J452" i="1"/>
  <c r="H453" i="1"/>
  <c r="I453" i="1" s="1"/>
  <c r="J453" i="1" s="1"/>
  <c r="K453" i="1"/>
  <c r="H454" i="1"/>
  <c r="J454" i="1"/>
  <c r="H455" i="1"/>
  <c r="J455" i="1"/>
  <c r="H456" i="1"/>
  <c r="I456" i="1" s="1"/>
  <c r="J456" i="1" s="1"/>
  <c r="K456" i="1"/>
  <c r="H457" i="1"/>
  <c r="I457" i="1" s="1"/>
  <c r="J457" i="1" s="1"/>
  <c r="K457" i="1"/>
  <c r="H458" i="1"/>
  <c r="I458" i="1" s="1"/>
  <c r="J458" i="1"/>
  <c r="H459" i="1"/>
  <c r="I459" i="1" s="1"/>
  <c r="J459" i="1" s="1"/>
  <c r="K459" i="1"/>
  <c r="H460" i="1"/>
  <c r="I460" i="1" s="1"/>
  <c r="J460" i="1" s="1"/>
  <c r="K460" i="1"/>
  <c r="H461" i="1"/>
  <c r="I461" i="1" s="1"/>
  <c r="J461" i="1"/>
  <c r="H462" i="1"/>
  <c r="I462" i="1" s="1"/>
  <c r="J462" i="1" s="1"/>
  <c r="K462" i="1"/>
  <c r="H463" i="1"/>
  <c r="I463" i="1" s="1"/>
  <c r="J463" i="1" s="1"/>
  <c r="K463" i="1"/>
  <c r="H464" i="1"/>
  <c r="I464" i="1" s="1"/>
  <c r="J464" i="1" s="1"/>
  <c r="K464" i="1"/>
  <c r="H465" i="1"/>
  <c r="J465" i="1"/>
  <c r="H466" i="1"/>
  <c r="J466" i="1"/>
  <c r="H467" i="1"/>
  <c r="J467" i="1"/>
  <c r="H468" i="1"/>
  <c r="I468" i="1" s="1"/>
  <c r="J468" i="1" s="1"/>
  <c r="K468" i="1"/>
  <c r="H469" i="1"/>
  <c r="I469" i="1" s="1"/>
  <c r="J469" i="1" s="1"/>
  <c r="K469" i="1"/>
  <c r="H470" i="1"/>
  <c r="I470" i="1" s="1"/>
  <c r="J470" i="1" s="1"/>
  <c r="K470" i="1"/>
  <c r="H471" i="1"/>
  <c r="I471" i="1" s="1"/>
  <c r="J471" i="1" s="1"/>
  <c r="K471" i="1"/>
  <c r="H472" i="1"/>
  <c r="J472" i="1"/>
  <c r="H473" i="1"/>
  <c r="J473" i="1"/>
  <c r="H474" i="1"/>
  <c r="I474" i="1" s="1"/>
  <c r="J474" i="1" s="1"/>
  <c r="K474" i="1"/>
  <c r="H475" i="1"/>
  <c r="I475" i="1" s="1"/>
  <c r="J475" i="1" s="1"/>
  <c r="K475" i="1"/>
  <c r="H476" i="1"/>
  <c r="J476" i="1"/>
  <c r="H477" i="1"/>
  <c r="I477" i="1" s="1"/>
  <c r="J477" i="1" s="1"/>
  <c r="K477" i="1"/>
  <c r="H478" i="1"/>
  <c r="I478" i="1" s="1"/>
  <c r="J478" i="1"/>
  <c r="H479" i="1"/>
  <c r="I479" i="1" s="1"/>
  <c r="J479" i="1"/>
  <c r="H480" i="1"/>
  <c r="I480" i="1" s="1"/>
  <c r="J480" i="1"/>
  <c r="H481" i="1"/>
  <c r="I481" i="1" s="1"/>
  <c r="J481" i="1" s="1"/>
  <c r="K481" i="1"/>
  <c r="H482" i="1"/>
  <c r="J482" i="1"/>
  <c r="H483" i="1"/>
  <c r="I483" i="1" s="1"/>
  <c r="J483" i="1" s="1"/>
  <c r="K483" i="1"/>
  <c r="H484" i="1"/>
  <c r="I484" i="1" s="1"/>
  <c r="J484" i="1" s="1"/>
  <c r="K484" i="1"/>
  <c r="H485" i="1"/>
  <c r="I485" i="1" s="1"/>
  <c r="J485" i="1" s="1"/>
  <c r="K485" i="1"/>
  <c r="H486" i="1"/>
  <c r="I486" i="1" s="1"/>
  <c r="J486" i="1"/>
  <c r="H487" i="1"/>
  <c r="I487" i="1" s="1"/>
  <c r="J487" i="1"/>
  <c r="H488" i="1"/>
  <c r="I488" i="1" s="1"/>
  <c r="J488" i="1" s="1"/>
  <c r="K488" i="1"/>
  <c r="H489" i="1"/>
  <c r="I489" i="1" s="1"/>
  <c r="J489" i="1" s="1"/>
  <c r="K489" i="1"/>
  <c r="H490" i="1"/>
  <c r="I490" i="1" s="1"/>
  <c r="J490" i="1"/>
  <c r="H491" i="1"/>
  <c r="I491" i="1" s="1"/>
  <c r="J491" i="1" s="1"/>
  <c r="K491" i="1"/>
  <c r="H492" i="1"/>
  <c r="J492" i="1"/>
  <c r="H493" i="1"/>
  <c r="J493" i="1"/>
  <c r="H494" i="1"/>
  <c r="J494" i="1"/>
  <c r="H495" i="1"/>
  <c r="I495" i="1" s="1"/>
  <c r="J495" i="1" s="1"/>
  <c r="K495" i="1"/>
  <c r="H496" i="1"/>
  <c r="I496" i="1" s="1"/>
  <c r="J496" i="1"/>
  <c r="H497" i="1"/>
  <c r="I497" i="1" s="1"/>
  <c r="J497" i="1"/>
  <c r="H498" i="1"/>
  <c r="I498" i="1" s="1"/>
  <c r="J498" i="1"/>
  <c r="H499" i="1"/>
  <c r="I499" i="1" s="1"/>
  <c r="J499" i="1" s="1"/>
  <c r="K499" i="1"/>
  <c r="H500" i="1"/>
  <c r="I500" i="1" s="1"/>
  <c r="J500" i="1" s="1"/>
  <c r="K500" i="1"/>
  <c r="H501" i="1"/>
  <c r="I501" i="1" s="1"/>
  <c r="J501" i="1" s="1"/>
  <c r="K501" i="1"/>
  <c r="H502" i="1"/>
  <c r="J502" i="1"/>
  <c r="H503" i="1"/>
  <c r="I503" i="1" s="1"/>
  <c r="J503" i="1" s="1"/>
  <c r="K503" i="1"/>
  <c r="H504" i="1"/>
  <c r="I504" i="1" s="1"/>
  <c r="J504" i="1"/>
  <c r="H505" i="1"/>
  <c r="I505" i="1" s="1"/>
  <c r="J505" i="1"/>
  <c r="H506" i="1"/>
  <c r="I506" i="1" s="1"/>
  <c r="J506" i="1" s="1"/>
  <c r="K506" i="1"/>
  <c r="H507" i="1"/>
  <c r="I507" i="1" s="1"/>
  <c r="J507" i="1" s="1"/>
  <c r="K507" i="1"/>
  <c r="H508" i="1"/>
  <c r="I508" i="1" s="1"/>
  <c r="J508" i="1" s="1"/>
  <c r="K508" i="1"/>
  <c r="H509" i="1"/>
  <c r="I509" i="1" s="1"/>
  <c r="J509" i="1" s="1"/>
  <c r="K509" i="1"/>
  <c r="H510" i="1"/>
  <c r="I510" i="1" s="1"/>
  <c r="J510" i="1" s="1"/>
  <c r="K510" i="1"/>
  <c r="H511" i="1"/>
  <c r="I511" i="1" s="1"/>
  <c r="J511" i="1" s="1"/>
  <c r="K511" i="1"/>
  <c r="H512" i="1"/>
  <c r="I512" i="1" s="1"/>
  <c r="J512" i="1" s="1"/>
  <c r="K512" i="1"/>
  <c r="H513" i="1"/>
  <c r="J513" i="1"/>
  <c r="H514" i="1"/>
  <c r="J514" i="1"/>
  <c r="H515" i="1"/>
  <c r="J515" i="1"/>
  <c r="H516" i="1"/>
  <c r="I516" i="1" s="1"/>
  <c r="J516" i="1" s="1"/>
  <c r="K516" i="1"/>
  <c r="H517" i="1"/>
  <c r="I517" i="1" s="1"/>
  <c r="J517" i="1" s="1"/>
  <c r="K517" i="1"/>
  <c r="H518" i="1"/>
  <c r="J518" i="1"/>
  <c r="H519" i="1"/>
  <c r="J519" i="1"/>
  <c r="H520" i="1"/>
  <c r="I520" i="1" s="1"/>
  <c r="J520" i="1" s="1"/>
  <c r="K520" i="1"/>
  <c r="H521" i="1"/>
  <c r="I521" i="1" s="1"/>
  <c r="J521" i="1" s="1"/>
  <c r="K521" i="1"/>
  <c r="H522" i="1"/>
  <c r="J522" i="1"/>
  <c r="H523" i="1"/>
  <c r="J523" i="1"/>
  <c r="H524" i="1"/>
  <c r="J524" i="1"/>
  <c r="H525" i="1"/>
  <c r="I525" i="1" s="1"/>
  <c r="J525" i="1" s="1"/>
  <c r="K525" i="1"/>
  <c r="H526" i="1"/>
  <c r="I526" i="1" s="1"/>
  <c r="J526" i="1"/>
  <c r="H527" i="1"/>
  <c r="I527" i="1" s="1"/>
  <c r="J527" i="1" s="1"/>
  <c r="K527" i="1"/>
  <c r="H528" i="1"/>
  <c r="J528" i="1"/>
  <c r="H529" i="1"/>
  <c r="J529" i="1"/>
  <c r="H530" i="1"/>
  <c r="J530" i="1"/>
  <c r="H531" i="1"/>
  <c r="I531" i="1" s="1"/>
  <c r="J531" i="1" s="1"/>
  <c r="K531" i="1"/>
  <c r="H532" i="1"/>
  <c r="J532" i="1"/>
  <c r="H533" i="1"/>
  <c r="J533" i="1"/>
  <c r="H534" i="1"/>
  <c r="J534" i="1"/>
  <c r="H535" i="1"/>
  <c r="J535" i="1"/>
  <c r="H536" i="1"/>
  <c r="I536" i="1" s="1"/>
  <c r="J536" i="1" s="1"/>
  <c r="K536" i="1"/>
  <c r="H537" i="1"/>
  <c r="I537" i="1" s="1"/>
  <c r="J537" i="1" s="1"/>
  <c r="K537" i="1"/>
  <c r="H538" i="1"/>
  <c r="I538" i="1" s="1"/>
  <c r="J538" i="1"/>
  <c r="H539" i="1"/>
  <c r="J539" i="1"/>
  <c r="H540" i="1"/>
  <c r="J540" i="1"/>
  <c r="H541" i="1"/>
  <c r="J541" i="1"/>
  <c r="H542" i="1"/>
  <c r="I542" i="1" s="1"/>
  <c r="J542" i="1" s="1"/>
  <c r="K542" i="1"/>
  <c r="H543" i="1"/>
  <c r="I543" i="1" s="1"/>
  <c r="J543" i="1" s="1"/>
  <c r="K543" i="1"/>
  <c r="H544" i="1"/>
  <c r="I544" i="1" s="1"/>
  <c r="J544" i="1" s="1"/>
  <c r="K544" i="1"/>
  <c r="H545" i="1"/>
  <c r="I545" i="1" s="1"/>
  <c r="J545" i="1" s="1"/>
  <c r="K545" i="1"/>
  <c r="H546" i="1"/>
  <c r="J546" i="1"/>
  <c r="H547" i="1"/>
  <c r="J547" i="1"/>
  <c r="H548" i="1"/>
  <c r="I548" i="1" s="1"/>
  <c r="J548" i="1" s="1"/>
  <c r="K548" i="1"/>
  <c r="H549" i="1"/>
  <c r="I549" i="1" s="1"/>
  <c r="J549" i="1" s="1"/>
  <c r="K549" i="1"/>
  <c r="H550" i="1"/>
  <c r="I550" i="1" s="1"/>
  <c r="J550" i="1" s="1"/>
  <c r="K550" i="1"/>
  <c r="H551" i="1"/>
  <c r="I551" i="1" s="1"/>
  <c r="J551" i="1" s="1"/>
  <c r="K551" i="1"/>
  <c r="H552" i="1"/>
  <c r="I552" i="1" s="1"/>
  <c r="J552" i="1" s="1"/>
  <c r="K552" i="1"/>
  <c r="H553" i="1"/>
  <c r="I553" i="1" s="1"/>
  <c r="J553" i="1" s="1"/>
  <c r="K553" i="1"/>
  <c r="H554" i="1"/>
  <c r="I554" i="1" s="1"/>
  <c r="J554" i="1"/>
  <c r="H555" i="1"/>
  <c r="I555" i="1" s="1"/>
  <c r="J555" i="1" s="1"/>
  <c r="K555" i="1"/>
  <c r="H556" i="1"/>
  <c r="J556" i="1"/>
  <c r="H557" i="1"/>
  <c r="I557" i="1" s="1"/>
  <c r="J557" i="1" s="1"/>
  <c r="K557" i="1"/>
  <c r="H558" i="1"/>
  <c r="I558" i="1" s="1"/>
  <c r="J558" i="1" s="1"/>
  <c r="K558" i="1"/>
  <c r="H559" i="1"/>
  <c r="J559" i="1"/>
  <c r="H560" i="1"/>
  <c r="I560" i="1" s="1"/>
  <c r="J560" i="1" s="1"/>
  <c r="K560" i="1"/>
  <c r="H561" i="1"/>
  <c r="I561" i="1" s="1"/>
  <c r="J561" i="1" s="1"/>
  <c r="K561" i="1"/>
  <c r="H562" i="1"/>
  <c r="I562" i="1" s="1"/>
  <c r="J562" i="1" s="1"/>
  <c r="K562" i="1"/>
  <c r="H563" i="1"/>
  <c r="J563" i="1"/>
  <c r="H564" i="1"/>
  <c r="I564" i="1" s="1"/>
  <c r="J564" i="1" s="1"/>
  <c r="K564" i="1"/>
  <c r="H565" i="1"/>
  <c r="I565" i="1" s="1"/>
  <c r="J565" i="1" s="1"/>
  <c r="K565" i="1"/>
  <c r="H566" i="1"/>
  <c r="I566" i="1" s="1"/>
  <c r="J566" i="1"/>
  <c r="H567" i="1"/>
  <c r="I567" i="1" s="1"/>
  <c r="J567" i="1"/>
  <c r="H568" i="1"/>
  <c r="I568" i="1" s="1"/>
  <c r="J568" i="1" s="1"/>
  <c r="K568" i="1"/>
  <c r="H569" i="1"/>
  <c r="J569" i="1"/>
  <c r="H570" i="1"/>
  <c r="I570" i="1" s="1"/>
  <c r="J570" i="1" s="1"/>
  <c r="K570" i="1"/>
  <c r="H571" i="1"/>
  <c r="I571" i="1" s="1"/>
  <c r="J571" i="1" s="1"/>
  <c r="K571" i="1"/>
  <c r="H572" i="1"/>
  <c r="I572" i="1" s="1"/>
  <c r="J572" i="1" s="1"/>
  <c r="K572" i="1"/>
  <c r="H573" i="1"/>
  <c r="I573" i="1" s="1"/>
  <c r="J573" i="1" s="1"/>
  <c r="K573" i="1"/>
  <c r="H574" i="1"/>
  <c r="J574" i="1"/>
  <c r="H575" i="1"/>
  <c r="J575" i="1"/>
  <c r="H576" i="1"/>
  <c r="J576" i="1"/>
  <c r="H577" i="1"/>
  <c r="I577" i="1" s="1"/>
  <c r="J577" i="1" s="1"/>
  <c r="K577" i="1"/>
  <c r="H578" i="1"/>
  <c r="J578" i="1"/>
  <c r="H579" i="1"/>
  <c r="I579" i="1" s="1"/>
  <c r="J579" i="1" s="1"/>
  <c r="K579" i="1"/>
  <c r="H580" i="1"/>
  <c r="I580" i="1" s="1"/>
  <c r="J580" i="1" s="1"/>
  <c r="K580" i="1"/>
  <c r="H581" i="1"/>
  <c r="I581" i="1" s="1"/>
  <c r="J581" i="1" s="1"/>
  <c r="K581" i="1"/>
  <c r="H582" i="1"/>
  <c r="J582" i="1"/>
  <c r="H583" i="1"/>
  <c r="J583" i="1"/>
  <c r="H584" i="1"/>
  <c r="J584" i="1"/>
  <c r="H585" i="1"/>
  <c r="J585" i="1"/>
  <c r="H586" i="1"/>
  <c r="J586" i="1"/>
  <c r="H587" i="1"/>
  <c r="J587" i="1"/>
  <c r="H588" i="1"/>
  <c r="I588" i="1" s="1"/>
  <c r="J588" i="1" s="1"/>
  <c r="K588" i="1"/>
  <c r="H589" i="1"/>
  <c r="I589" i="1" s="1"/>
  <c r="J589" i="1" s="1"/>
  <c r="K589" i="1"/>
  <c r="H590" i="1"/>
  <c r="I590" i="1" s="1"/>
  <c r="J590" i="1" s="1"/>
  <c r="K590" i="1"/>
  <c r="H591" i="1"/>
  <c r="I591" i="1" s="1"/>
  <c r="J591" i="1" s="1"/>
  <c r="K591" i="1"/>
  <c r="H592" i="1"/>
  <c r="J592" i="1"/>
  <c r="H593" i="1"/>
  <c r="J593" i="1"/>
  <c r="H594" i="1"/>
  <c r="I594" i="1" s="1"/>
  <c r="J594" i="1" s="1"/>
  <c r="K594" i="1"/>
  <c r="H595" i="1"/>
  <c r="I595" i="1" s="1"/>
  <c r="J595" i="1" s="1"/>
  <c r="K595" i="1"/>
  <c r="H596" i="1"/>
  <c r="J596" i="1"/>
  <c r="H597" i="1"/>
  <c r="I597" i="1" s="1"/>
  <c r="J597" i="1" s="1"/>
  <c r="K597" i="1"/>
  <c r="H598" i="1"/>
  <c r="I598" i="1" s="1"/>
  <c r="J598" i="1" s="1"/>
  <c r="K598" i="1"/>
  <c r="H599" i="1"/>
  <c r="J599" i="1"/>
  <c r="H600" i="1"/>
  <c r="I600" i="1" s="1"/>
  <c r="J600" i="1" s="1"/>
  <c r="K600" i="1"/>
  <c r="H601" i="1"/>
  <c r="I601" i="1" s="1"/>
  <c r="J601" i="1" s="1"/>
  <c r="K601" i="1"/>
  <c r="H602" i="1"/>
  <c r="I602" i="1" s="1"/>
  <c r="J602" i="1" s="1"/>
  <c r="K602" i="1"/>
  <c r="H603" i="1"/>
  <c r="I603" i="1" s="1"/>
  <c r="J603" i="1" s="1"/>
  <c r="K603" i="1"/>
  <c r="H604" i="1"/>
  <c r="I604" i="1" s="1"/>
  <c r="J604" i="1" s="1"/>
  <c r="K604" i="1"/>
  <c r="H605" i="1"/>
  <c r="I605" i="1" s="1"/>
  <c r="J605" i="1" s="1"/>
  <c r="K605" i="1"/>
  <c r="H606" i="1"/>
  <c r="I606" i="1" s="1"/>
  <c r="J606" i="1" s="1"/>
  <c r="K606" i="1"/>
  <c r="H607" i="1"/>
  <c r="I607" i="1" s="1"/>
  <c r="J607" i="1" s="1"/>
  <c r="K607" i="1"/>
  <c r="H608" i="1"/>
  <c r="I608" i="1" s="1"/>
  <c r="J608" i="1" s="1"/>
  <c r="K608" i="1"/>
  <c r="H609" i="1"/>
  <c r="K609" i="1"/>
  <c r="H610" i="1"/>
  <c r="I610" i="1" s="1"/>
  <c r="K610" i="1"/>
  <c r="H611" i="1"/>
  <c r="J611" i="1"/>
  <c r="H612" i="1"/>
  <c r="K612" i="1"/>
  <c r="H613" i="1"/>
  <c r="I613" i="1" s="1"/>
  <c r="K613" i="1"/>
  <c r="H614" i="1"/>
  <c r="J614" i="1"/>
  <c r="H615" i="1"/>
  <c r="I615" i="1" s="1"/>
  <c r="K615" i="1"/>
  <c r="H616" i="1"/>
  <c r="J616" i="1"/>
  <c r="H617" i="1"/>
  <c r="I617" i="1" s="1"/>
  <c r="K617" i="1"/>
  <c r="H618" i="1"/>
  <c r="K618" i="1"/>
  <c r="H619" i="1"/>
  <c r="I619" i="1" s="1"/>
  <c r="K619" i="1"/>
  <c r="H620" i="1"/>
  <c r="K620" i="1"/>
  <c r="H621" i="1"/>
  <c r="I621" i="1" s="1"/>
  <c r="K621" i="1"/>
  <c r="H622" i="1"/>
  <c r="J622" i="1"/>
  <c r="H623" i="1"/>
  <c r="J623" i="1"/>
  <c r="H624" i="1"/>
  <c r="K624" i="1"/>
  <c r="H625" i="1"/>
  <c r="J625" i="1"/>
  <c r="H626" i="1"/>
  <c r="J626" i="1"/>
  <c r="H627" i="1"/>
  <c r="J627" i="1"/>
  <c r="H628" i="1"/>
  <c r="J628" i="1"/>
  <c r="H629" i="1"/>
  <c r="I629" i="1" s="1"/>
  <c r="K629" i="1"/>
  <c r="H630" i="1"/>
  <c r="I630" i="1" s="1"/>
  <c r="K630" i="1"/>
  <c r="H631" i="1"/>
  <c r="I631" i="1" s="1"/>
  <c r="K631" i="1"/>
  <c r="H632" i="1"/>
  <c r="J632" i="1"/>
  <c r="H633" i="1"/>
  <c r="J633" i="1"/>
  <c r="H634" i="1"/>
  <c r="K634" i="1"/>
  <c r="H635" i="1"/>
  <c r="J635" i="1"/>
  <c r="H636" i="1"/>
  <c r="J636" i="1"/>
  <c r="H637" i="1"/>
  <c r="I637" i="1" s="1"/>
  <c r="K637" i="1"/>
  <c r="H638" i="1"/>
  <c r="K638" i="1"/>
  <c r="H639" i="1"/>
  <c r="I639" i="1" s="1"/>
  <c r="K639" i="1"/>
  <c r="H640" i="1"/>
  <c r="K640" i="1"/>
  <c r="H641" i="1"/>
  <c r="I641" i="1" s="1"/>
  <c r="K641" i="1"/>
  <c r="H642" i="1"/>
  <c r="J642" i="1"/>
  <c r="H643" i="1"/>
  <c r="J643" i="1"/>
  <c r="H644" i="1"/>
  <c r="J644" i="1"/>
  <c r="H645" i="1"/>
  <c r="J645" i="1"/>
  <c r="H646" i="1"/>
  <c r="I646" i="1" s="1"/>
  <c r="K646" i="1"/>
  <c r="H647" i="1"/>
  <c r="I647" i="1" s="1"/>
  <c r="K647" i="1"/>
  <c r="H648" i="1"/>
  <c r="K648" i="1"/>
  <c r="H649" i="1"/>
  <c r="J649" i="1"/>
  <c r="H650" i="1"/>
  <c r="I650" i="1" s="1"/>
  <c r="K650" i="1"/>
  <c r="H651" i="1"/>
  <c r="K651" i="1"/>
  <c r="H652" i="1"/>
  <c r="I652" i="1" s="1"/>
  <c r="K652" i="1"/>
  <c r="H653" i="1"/>
  <c r="K653" i="1"/>
  <c r="H654" i="1"/>
  <c r="J654" i="1"/>
  <c r="H655" i="1"/>
  <c r="J655" i="1"/>
  <c r="H656" i="1"/>
  <c r="J656" i="1"/>
  <c r="H657" i="1"/>
  <c r="I657" i="1" s="1"/>
  <c r="K657" i="1"/>
  <c r="H658" i="1"/>
  <c r="J658" i="1"/>
  <c r="H659" i="1"/>
  <c r="I659" i="1" s="1"/>
  <c r="K659" i="1"/>
  <c r="H660" i="1"/>
  <c r="J660" i="1"/>
  <c r="H661" i="1"/>
  <c r="J661" i="1"/>
  <c r="H662" i="1"/>
  <c r="J662" i="1"/>
  <c r="H663" i="1"/>
  <c r="I663" i="1" s="1"/>
  <c r="K663" i="1"/>
  <c r="H664" i="1"/>
  <c r="K664" i="1"/>
  <c r="H665" i="1"/>
  <c r="I665" i="1" s="1"/>
  <c r="K665" i="1"/>
  <c r="H666" i="1"/>
  <c r="J666" i="1"/>
  <c r="H667" i="1"/>
  <c r="J667" i="1"/>
  <c r="H668" i="1"/>
  <c r="K668" i="1"/>
  <c r="H669" i="1"/>
  <c r="I669" i="1" s="1"/>
  <c r="K669" i="1"/>
  <c r="H670" i="1"/>
  <c r="K670" i="1"/>
  <c r="H671" i="1"/>
  <c r="I671" i="1" s="1"/>
  <c r="K671" i="1"/>
  <c r="H672" i="1"/>
  <c r="I672" i="1" s="1"/>
  <c r="K672" i="1"/>
  <c r="H673" i="1"/>
  <c r="I673" i="1" s="1"/>
  <c r="K673" i="1"/>
  <c r="H674" i="1"/>
  <c r="K674" i="1"/>
  <c r="H675" i="1"/>
  <c r="I675" i="1" s="1"/>
  <c r="K675" i="1"/>
  <c r="H676" i="1"/>
  <c r="J676" i="1"/>
  <c r="H677" i="1"/>
  <c r="K677" i="1"/>
  <c r="H678" i="1"/>
  <c r="I678" i="1" s="1"/>
  <c r="K678" i="1"/>
  <c r="H679" i="1"/>
  <c r="J679" i="1"/>
  <c r="H680" i="1"/>
  <c r="K680" i="1"/>
  <c r="H681" i="1"/>
  <c r="I681" i="1" s="1"/>
  <c r="K681" i="1"/>
  <c r="H682" i="1"/>
  <c r="I682" i="1" s="1"/>
  <c r="K682" i="1"/>
  <c r="H683" i="1"/>
  <c r="I683" i="1" s="1"/>
  <c r="K683" i="1"/>
  <c r="H684" i="1"/>
  <c r="K684" i="1"/>
  <c r="H685" i="1"/>
  <c r="I685" i="1" s="1"/>
  <c r="K685" i="1"/>
  <c r="H686" i="1"/>
  <c r="K686" i="1"/>
  <c r="H687" i="1"/>
  <c r="I687" i="1" s="1"/>
  <c r="K687" i="1"/>
  <c r="H688" i="1"/>
  <c r="J688" i="1"/>
  <c r="H689" i="1"/>
  <c r="J689" i="1"/>
  <c r="H690" i="1"/>
  <c r="K690" i="1"/>
  <c r="H691" i="1"/>
  <c r="I691" i="1" s="1"/>
  <c r="K691" i="1"/>
  <c r="H692" i="1"/>
  <c r="J692" i="1"/>
  <c r="H693" i="1"/>
  <c r="I693" i="1" s="1"/>
  <c r="K693" i="1"/>
  <c r="H694" i="1"/>
  <c r="I694" i="1" s="1"/>
  <c r="K694" i="1"/>
  <c r="H695" i="1"/>
  <c r="J695" i="1"/>
  <c r="H696" i="1"/>
  <c r="J696" i="1"/>
  <c r="H697" i="1"/>
  <c r="J697" i="1"/>
  <c r="H698" i="1"/>
  <c r="K698" i="1"/>
  <c r="H699" i="1"/>
  <c r="I699" i="1" s="1"/>
  <c r="K699" i="1"/>
  <c r="H700" i="1"/>
  <c r="K700" i="1"/>
  <c r="H701" i="1"/>
  <c r="J701" i="1"/>
  <c r="H702" i="1"/>
  <c r="I702" i="1" s="1"/>
  <c r="K702" i="1"/>
  <c r="H703" i="1"/>
  <c r="J703" i="1"/>
  <c r="H704" i="1"/>
  <c r="J704" i="1"/>
  <c r="H705" i="1"/>
  <c r="K705" i="1"/>
  <c r="H706" i="1"/>
  <c r="J706" i="1"/>
  <c r="H707" i="1"/>
  <c r="I707" i="1" s="1"/>
  <c r="K707" i="1"/>
  <c r="H708" i="1"/>
  <c r="I708" i="1" s="1"/>
  <c r="K708" i="1"/>
  <c r="H709" i="1"/>
  <c r="I709" i="1" s="1"/>
  <c r="K709" i="1"/>
  <c r="H710" i="1"/>
  <c r="K710" i="1"/>
  <c r="H711" i="1"/>
  <c r="J711" i="1"/>
  <c r="H712" i="1"/>
  <c r="J712" i="1"/>
  <c r="H713" i="1"/>
  <c r="I713" i="1" s="1"/>
  <c r="K713" i="1"/>
  <c r="H714" i="1"/>
  <c r="K714" i="1"/>
  <c r="H715" i="1"/>
  <c r="J715" i="1"/>
  <c r="H716" i="1"/>
  <c r="J716" i="1"/>
  <c r="H717" i="1"/>
  <c r="J717" i="1"/>
  <c r="H718" i="1"/>
  <c r="J718" i="1"/>
  <c r="H719" i="1"/>
  <c r="I719" i="1" s="1"/>
  <c r="K719" i="1"/>
  <c r="H720" i="1"/>
  <c r="K720" i="1"/>
  <c r="H721" i="1"/>
  <c r="I721" i="1" s="1"/>
  <c r="K721" i="1"/>
  <c r="H722" i="1"/>
  <c r="I722" i="1" s="1"/>
  <c r="K722" i="1"/>
  <c r="H723" i="1"/>
  <c r="I723" i="1" s="1"/>
  <c r="K723" i="1"/>
  <c r="H724" i="1"/>
  <c r="J724" i="1"/>
  <c r="H725" i="1"/>
  <c r="J725" i="1"/>
  <c r="H726" i="1"/>
  <c r="J726" i="1"/>
  <c r="H727" i="1"/>
  <c r="J727" i="1"/>
  <c r="H728" i="1"/>
  <c r="J728" i="1"/>
  <c r="H729" i="1"/>
  <c r="J729" i="1"/>
  <c r="H730" i="1"/>
  <c r="I730" i="1" s="1"/>
  <c r="J730" i="1" s="1"/>
  <c r="K730" i="1"/>
  <c r="H731" i="1"/>
  <c r="I731" i="1" s="1"/>
  <c r="J731" i="1" s="1"/>
  <c r="K731" i="1"/>
  <c r="H732" i="1"/>
  <c r="J732" i="1"/>
  <c r="H733" i="1"/>
  <c r="I733" i="1" s="1"/>
  <c r="J733" i="1" s="1"/>
  <c r="K733" i="1"/>
  <c r="H734" i="1"/>
  <c r="I734" i="1" s="1"/>
  <c r="J734" i="1" s="1"/>
  <c r="K734" i="1"/>
  <c r="H735" i="1"/>
  <c r="I735" i="1" s="1"/>
  <c r="J735" i="1" s="1"/>
  <c r="K735" i="1"/>
  <c r="H736" i="1"/>
  <c r="I736" i="1" s="1"/>
  <c r="J736" i="1" s="1"/>
  <c r="K736" i="1"/>
  <c r="H737" i="1"/>
  <c r="J737" i="1"/>
  <c r="H738" i="1"/>
  <c r="J738" i="1"/>
  <c r="H739" i="1"/>
  <c r="I739" i="1" s="1"/>
  <c r="J739" i="1" s="1"/>
  <c r="K739" i="1"/>
  <c r="H740" i="1"/>
  <c r="I740" i="1" s="1"/>
  <c r="J740" i="1" s="1"/>
  <c r="K740" i="1"/>
  <c r="H741" i="1"/>
  <c r="J741" i="1"/>
  <c r="H742" i="1"/>
  <c r="I742" i="1" s="1"/>
  <c r="J742" i="1" s="1"/>
  <c r="K742" i="1"/>
  <c r="H743" i="1"/>
  <c r="I743" i="1" s="1"/>
  <c r="J743" i="1" s="1"/>
  <c r="K743" i="1"/>
  <c r="H744" i="1"/>
  <c r="J744" i="1"/>
  <c r="H745" i="1"/>
  <c r="J745" i="1"/>
  <c r="H746" i="1"/>
  <c r="I746" i="1" s="1"/>
  <c r="J746" i="1" s="1"/>
  <c r="K746" i="1"/>
  <c r="H747" i="1"/>
  <c r="I747" i="1" s="1"/>
  <c r="J747" i="1" s="1"/>
  <c r="K747" i="1"/>
  <c r="H748" i="1"/>
  <c r="I748" i="1" s="1"/>
  <c r="J748" i="1" s="1"/>
  <c r="K748" i="1"/>
  <c r="H749" i="1"/>
  <c r="I749" i="1" s="1"/>
  <c r="J749" i="1" s="1"/>
  <c r="K749" i="1"/>
  <c r="H750" i="1"/>
  <c r="I750" i="1" s="1"/>
  <c r="J750" i="1" s="1"/>
  <c r="K750" i="1"/>
  <c r="H751" i="1"/>
  <c r="I751" i="1" s="1"/>
  <c r="J751" i="1"/>
  <c r="H752" i="1"/>
  <c r="I752" i="1" s="1"/>
  <c r="J752" i="1"/>
  <c r="H753" i="1"/>
  <c r="I753" i="1" s="1"/>
  <c r="J753" i="1" s="1"/>
  <c r="K753" i="1"/>
  <c r="H754" i="1"/>
  <c r="I754" i="1" s="1"/>
  <c r="J754" i="1" s="1"/>
  <c r="K754" i="1"/>
  <c r="H755" i="1"/>
  <c r="J755" i="1"/>
  <c r="H756" i="1"/>
  <c r="I756" i="1" s="1"/>
  <c r="J756" i="1" s="1"/>
  <c r="K756" i="1"/>
  <c r="H757" i="1"/>
  <c r="I757" i="1" s="1"/>
  <c r="J757" i="1" s="1"/>
  <c r="K757" i="1"/>
  <c r="H758" i="1"/>
  <c r="I758" i="1" s="1"/>
  <c r="J758" i="1" s="1"/>
  <c r="K758" i="1"/>
  <c r="H759" i="1"/>
  <c r="J759" i="1"/>
  <c r="H760" i="1"/>
  <c r="J760" i="1"/>
  <c r="H761" i="1"/>
  <c r="I761" i="1" s="1"/>
  <c r="J761" i="1" s="1"/>
  <c r="K761" i="1"/>
  <c r="H762" i="1"/>
  <c r="J762" i="1"/>
  <c r="H763" i="1"/>
  <c r="J763" i="1"/>
  <c r="H764" i="1"/>
  <c r="I764" i="1" s="1"/>
  <c r="J764" i="1"/>
  <c r="H765" i="1"/>
  <c r="I765" i="1" s="1"/>
  <c r="J765" i="1" s="1"/>
  <c r="K765" i="1"/>
  <c r="H766" i="1"/>
  <c r="I766" i="1" s="1"/>
  <c r="J766" i="1" s="1"/>
  <c r="K766" i="1"/>
  <c r="H767" i="1"/>
  <c r="I767" i="1" s="1"/>
  <c r="J767" i="1" s="1"/>
  <c r="K767" i="1"/>
  <c r="H768" i="1"/>
  <c r="I768" i="1" s="1"/>
  <c r="J768" i="1" s="1"/>
  <c r="K768" i="1"/>
  <c r="H769" i="1"/>
  <c r="I769" i="1" s="1"/>
  <c r="J769" i="1"/>
  <c r="H770" i="1"/>
  <c r="I770" i="1" s="1"/>
  <c r="J770" i="1" s="1"/>
  <c r="K770" i="1"/>
  <c r="H771" i="1"/>
  <c r="J771" i="1"/>
  <c r="H772" i="1"/>
  <c r="I772" i="1" s="1"/>
  <c r="J772" i="1" s="1"/>
  <c r="K772" i="1"/>
  <c r="H773" i="1"/>
  <c r="I773" i="1" s="1"/>
  <c r="J773" i="1" s="1"/>
  <c r="K773" i="1"/>
  <c r="H774" i="1"/>
  <c r="I774" i="1" s="1"/>
  <c r="J774" i="1" s="1"/>
  <c r="K774" i="1"/>
  <c r="H775" i="1"/>
  <c r="I775" i="1" s="1"/>
  <c r="K775" i="1" s="1"/>
  <c r="J775" i="1"/>
  <c r="H776" i="1"/>
  <c r="I776" i="1" s="1"/>
  <c r="J776" i="1"/>
  <c r="H777" i="1"/>
  <c r="I777" i="1" s="1"/>
  <c r="J777" i="1"/>
  <c r="H778" i="1"/>
  <c r="I778" i="1" s="1"/>
  <c r="J778" i="1"/>
  <c r="H779" i="1"/>
  <c r="I779" i="1" s="1"/>
  <c r="J779" i="1" s="1"/>
  <c r="K779" i="1"/>
  <c r="H780" i="1"/>
  <c r="I780" i="1" s="1"/>
  <c r="J780" i="1" s="1"/>
  <c r="K780" i="1"/>
  <c r="H781" i="1"/>
  <c r="I781" i="1" s="1"/>
  <c r="J781" i="1" s="1"/>
  <c r="K781" i="1"/>
  <c r="H782" i="1"/>
  <c r="J782" i="1"/>
  <c r="H783" i="1"/>
  <c r="J783" i="1"/>
  <c r="H784" i="1"/>
  <c r="I784" i="1" s="1"/>
  <c r="J784" i="1" s="1"/>
  <c r="K784" i="1"/>
  <c r="H785" i="1"/>
  <c r="I785" i="1" s="1"/>
  <c r="J785" i="1" s="1"/>
  <c r="K785" i="1"/>
  <c r="H786" i="1"/>
  <c r="I786" i="1" s="1"/>
  <c r="J786" i="1" s="1"/>
  <c r="K786" i="1"/>
  <c r="H787" i="1"/>
  <c r="I787" i="1" s="1"/>
  <c r="J787" i="1" s="1"/>
  <c r="K787" i="1"/>
  <c r="H788" i="1"/>
  <c r="I788" i="1" s="1"/>
  <c r="J788" i="1" s="1"/>
  <c r="K788" i="1"/>
  <c r="H789" i="1"/>
  <c r="I789" i="1" s="1"/>
  <c r="J789" i="1"/>
  <c r="H790" i="1"/>
  <c r="I790" i="1" s="1"/>
  <c r="J790" i="1"/>
  <c r="H791" i="1"/>
  <c r="I791" i="1" s="1"/>
  <c r="J791" i="1"/>
  <c r="H792" i="1"/>
  <c r="I792" i="1" s="1"/>
  <c r="J792" i="1"/>
  <c r="H793" i="1"/>
  <c r="I793" i="1" s="1"/>
  <c r="J793" i="1"/>
  <c r="H794" i="1"/>
  <c r="I794" i="1" s="1"/>
  <c r="J794" i="1" s="1"/>
  <c r="K794" i="1"/>
  <c r="H795" i="1"/>
  <c r="I795" i="1" s="1"/>
  <c r="J795" i="1" s="1"/>
  <c r="K795" i="1"/>
  <c r="H796" i="1"/>
  <c r="I796" i="1" s="1"/>
  <c r="J796" i="1" s="1"/>
  <c r="K796" i="1"/>
  <c r="H797" i="1"/>
  <c r="I797" i="1" s="1"/>
  <c r="J797" i="1" s="1"/>
  <c r="K797" i="1"/>
  <c r="H798" i="1"/>
  <c r="I798" i="1" s="1"/>
  <c r="J798" i="1" s="1"/>
  <c r="K798" i="1"/>
  <c r="H799" i="1"/>
  <c r="J799" i="1"/>
  <c r="H800" i="1"/>
  <c r="J800" i="1"/>
  <c r="H801" i="1"/>
  <c r="I801" i="1" s="1"/>
  <c r="J801" i="1" s="1"/>
  <c r="K801" i="1"/>
  <c r="H802" i="1"/>
  <c r="I802" i="1" s="1"/>
  <c r="J802" i="1"/>
  <c r="H803" i="1"/>
  <c r="I803" i="1" s="1"/>
  <c r="J803" i="1" s="1"/>
  <c r="K803" i="1"/>
  <c r="H804" i="1"/>
  <c r="J804" i="1"/>
  <c r="H805" i="1"/>
  <c r="I805" i="1" s="1"/>
  <c r="J805" i="1" s="1"/>
  <c r="K805" i="1"/>
  <c r="H806" i="1"/>
  <c r="I806" i="1" s="1"/>
  <c r="J806" i="1" s="1"/>
  <c r="K806" i="1"/>
  <c r="H807" i="1"/>
  <c r="J807" i="1"/>
  <c r="H808" i="1"/>
  <c r="J808" i="1"/>
  <c r="H809" i="1"/>
  <c r="J809" i="1"/>
  <c r="H810" i="1"/>
  <c r="J810" i="1"/>
  <c r="H811" i="1"/>
  <c r="J811" i="1"/>
  <c r="H812" i="1"/>
  <c r="J812" i="1"/>
  <c r="H813" i="1"/>
  <c r="J813" i="1"/>
  <c r="H814" i="1"/>
  <c r="I814" i="1" s="1"/>
  <c r="J814" i="1" s="1"/>
  <c r="K814" i="1"/>
  <c r="H815" i="1"/>
  <c r="I815" i="1" s="1"/>
  <c r="J815" i="1"/>
  <c r="H816" i="1"/>
  <c r="I816" i="1" s="1"/>
  <c r="J816" i="1"/>
  <c r="H817" i="1"/>
  <c r="I817" i="1" s="1"/>
  <c r="J817" i="1"/>
  <c r="H818" i="1"/>
  <c r="I818" i="1" s="1"/>
  <c r="J818" i="1" s="1"/>
  <c r="K818" i="1"/>
  <c r="H819" i="1"/>
  <c r="I819" i="1" s="1"/>
  <c r="J819" i="1" s="1"/>
  <c r="K819" i="1"/>
  <c r="H820" i="1"/>
  <c r="I820" i="1" s="1"/>
  <c r="J820" i="1"/>
  <c r="H821" i="1"/>
  <c r="I821" i="1" s="1"/>
  <c r="J821" i="1"/>
  <c r="H822" i="1"/>
  <c r="I822" i="1" s="1"/>
  <c r="J822" i="1"/>
  <c r="H823" i="1"/>
  <c r="I823" i="1" s="1"/>
  <c r="J823" i="1" s="1"/>
  <c r="K823" i="1"/>
  <c r="H824" i="1"/>
  <c r="J824" i="1"/>
  <c r="H825" i="1"/>
  <c r="J825" i="1"/>
  <c r="H826" i="1"/>
  <c r="J826" i="1"/>
  <c r="H827" i="1"/>
  <c r="J827" i="1"/>
  <c r="H828" i="1"/>
  <c r="J828" i="1"/>
  <c r="H829" i="1"/>
  <c r="J829" i="1"/>
  <c r="H830" i="1"/>
  <c r="J830" i="1"/>
  <c r="H831" i="1"/>
  <c r="I831" i="1" s="1"/>
  <c r="J831" i="1" s="1"/>
  <c r="K831" i="1"/>
  <c r="H832" i="1"/>
  <c r="I832" i="1" s="1"/>
  <c r="J832" i="1"/>
  <c r="H833" i="1"/>
  <c r="I833" i="1" s="1"/>
  <c r="J833" i="1" s="1"/>
  <c r="K833" i="1"/>
  <c r="H834" i="1"/>
  <c r="J834" i="1"/>
  <c r="H835" i="1"/>
  <c r="J835" i="1"/>
  <c r="H836" i="1"/>
  <c r="J836" i="1"/>
  <c r="H837" i="1"/>
  <c r="I837" i="1" s="1"/>
  <c r="J837" i="1" s="1"/>
  <c r="K837" i="1"/>
  <c r="H838" i="1"/>
  <c r="I838" i="1" s="1"/>
  <c r="J838" i="1" s="1"/>
  <c r="K838" i="1"/>
  <c r="H839" i="1"/>
  <c r="J839" i="1"/>
  <c r="H840" i="1"/>
  <c r="J840" i="1"/>
  <c r="H841" i="1"/>
  <c r="I841" i="1" s="1"/>
  <c r="J841" i="1" s="1"/>
  <c r="K841" i="1"/>
  <c r="H842" i="1"/>
  <c r="I842" i="1" s="1"/>
  <c r="J842" i="1"/>
  <c r="H843" i="1"/>
  <c r="I843" i="1" s="1"/>
  <c r="J843" i="1" s="1"/>
  <c r="K843" i="1"/>
  <c r="H844" i="1"/>
  <c r="I844" i="1" s="1"/>
  <c r="J844" i="1" s="1"/>
  <c r="K844" i="1"/>
  <c r="H845" i="1"/>
  <c r="I845" i="1" s="1"/>
  <c r="J845" i="1"/>
  <c r="H846" i="1"/>
  <c r="I846" i="1" s="1"/>
  <c r="J846" i="1" s="1"/>
  <c r="K846" i="1"/>
  <c r="H847" i="1"/>
  <c r="J847" i="1"/>
  <c r="H848" i="1"/>
  <c r="I848" i="1" s="1"/>
  <c r="J848" i="1" s="1"/>
  <c r="K848" i="1"/>
  <c r="H849" i="1"/>
  <c r="I849" i="1" s="1"/>
  <c r="J849" i="1" s="1"/>
  <c r="K849" i="1"/>
  <c r="H850" i="1"/>
  <c r="I850" i="1" s="1"/>
  <c r="J850" i="1" s="1"/>
  <c r="K850" i="1"/>
  <c r="H851" i="1"/>
  <c r="I851" i="1" s="1"/>
  <c r="J851" i="1"/>
  <c r="H852" i="1"/>
  <c r="I852" i="1" s="1"/>
  <c r="J852" i="1" s="1"/>
  <c r="K852" i="1"/>
  <c r="H853" i="1"/>
  <c r="I853" i="1" s="1"/>
  <c r="J853" i="1" s="1"/>
  <c r="K853" i="1"/>
  <c r="H854" i="1"/>
  <c r="I854" i="1" s="1"/>
  <c r="J854" i="1" s="1"/>
  <c r="K854" i="1"/>
  <c r="H855" i="1"/>
  <c r="J855" i="1"/>
  <c r="H856" i="1"/>
  <c r="J856" i="1"/>
  <c r="H857" i="1"/>
  <c r="J857" i="1"/>
  <c r="H858" i="1"/>
  <c r="I858" i="1" s="1"/>
  <c r="J858" i="1" s="1"/>
  <c r="K858" i="1"/>
  <c r="H859" i="1"/>
  <c r="I859" i="1" s="1"/>
  <c r="J859" i="1" s="1"/>
  <c r="K859" i="1"/>
  <c r="H860" i="1"/>
  <c r="J860" i="1"/>
  <c r="H861" i="1"/>
  <c r="I861" i="1" s="1"/>
  <c r="J861" i="1" s="1"/>
  <c r="K861" i="1"/>
  <c r="H862" i="1"/>
  <c r="I862" i="1" s="1"/>
  <c r="J862" i="1"/>
  <c r="H863" i="1"/>
  <c r="I863" i="1" s="1"/>
  <c r="J863" i="1"/>
  <c r="H864" i="1"/>
  <c r="I864" i="1" s="1"/>
  <c r="J864" i="1" s="1"/>
  <c r="K864" i="1"/>
  <c r="H865" i="1"/>
  <c r="I865" i="1" s="1"/>
  <c r="J865" i="1" s="1"/>
  <c r="K865" i="1"/>
  <c r="H866" i="1"/>
  <c r="I866" i="1" s="1"/>
  <c r="J866" i="1" s="1"/>
  <c r="K866" i="1"/>
  <c r="H867" i="1"/>
  <c r="J867" i="1"/>
  <c r="H868" i="1"/>
  <c r="J868" i="1"/>
  <c r="H869" i="1"/>
  <c r="J869" i="1"/>
  <c r="H870" i="1"/>
  <c r="I870" i="1" s="1"/>
  <c r="J870" i="1" s="1"/>
  <c r="K870" i="1"/>
  <c r="H871" i="1"/>
  <c r="I871" i="1" s="1"/>
  <c r="J871" i="1" s="1"/>
  <c r="K871" i="1"/>
  <c r="H872" i="1"/>
  <c r="I872" i="1" s="1"/>
  <c r="J872" i="1" s="1"/>
  <c r="K872" i="1"/>
  <c r="H873" i="1"/>
  <c r="I873" i="1" s="1"/>
  <c r="J873" i="1"/>
  <c r="H874" i="1"/>
  <c r="I874" i="1" s="1"/>
  <c r="J874" i="1" s="1"/>
  <c r="K874" i="1"/>
  <c r="H875" i="1"/>
  <c r="I875" i="1" s="1"/>
  <c r="J875" i="1" s="1"/>
  <c r="K875" i="1"/>
  <c r="H876" i="1"/>
  <c r="I876" i="1" s="1"/>
  <c r="J876" i="1"/>
  <c r="H877" i="1"/>
  <c r="I877" i="1" s="1"/>
  <c r="J877" i="1" s="1"/>
  <c r="K877" i="1"/>
  <c r="H878" i="1"/>
  <c r="I878" i="1" s="1"/>
  <c r="J878" i="1" s="1"/>
  <c r="K878" i="1"/>
  <c r="H879" i="1"/>
  <c r="I879" i="1" s="1"/>
  <c r="J879" i="1" s="1"/>
  <c r="K879" i="1"/>
  <c r="H880" i="1"/>
  <c r="I880" i="1" s="1"/>
  <c r="J880" i="1" s="1"/>
  <c r="K880" i="1"/>
  <c r="H881" i="1"/>
  <c r="I881" i="1" s="1"/>
  <c r="J881" i="1" s="1"/>
  <c r="K881" i="1"/>
  <c r="H882" i="1"/>
  <c r="I882" i="1" s="1"/>
  <c r="J882" i="1" s="1"/>
  <c r="K882" i="1"/>
  <c r="H883" i="1"/>
  <c r="I883" i="1" s="1"/>
  <c r="J883" i="1" s="1"/>
  <c r="K883" i="1"/>
  <c r="H884" i="1"/>
  <c r="I884" i="1" s="1"/>
  <c r="J884" i="1" s="1"/>
  <c r="K884" i="1"/>
  <c r="H885" i="1"/>
  <c r="I885" i="1" s="1"/>
  <c r="J885" i="1" s="1"/>
  <c r="K885" i="1"/>
  <c r="H886" i="1"/>
  <c r="J886" i="1"/>
  <c r="H887" i="1"/>
  <c r="J887" i="1"/>
  <c r="H888" i="1"/>
  <c r="I888" i="1" s="1"/>
  <c r="J888" i="1" s="1"/>
  <c r="K888" i="1"/>
  <c r="H889" i="1"/>
  <c r="I889" i="1" s="1"/>
  <c r="J889" i="1" s="1"/>
  <c r="K889" i="1"/>
  <c r="H890" i="1"/>
  <c r="J890" i="1"/>
  <c r="H891" i="1"/>
  <c r="J891" i="1"/>
  <c r="H892" i="1"/>
  <c r="J892" i="1"/>
  <c r="H893" i="1"/>
  <c r="J893" i="1"/>
  <c r="H894" i="1"/>
  <c r="I894" i="1" s="1"/>
  <c r="J894" i="1" s="1"/>
  <c r="K894" i="1"/>
  <c r="H895" i="1"/>
  <c r="I895" i="1" s="1"/>
  <c r="J895" i="1" s="1"/>
  <c r="K895" i="1"/>
  <c r="H896" i="1"/>
  <c r="I896" i="1" s="1"/>
  <c r="J896" i="1" s="1"/>
  <c r="K896" i="1"/>
  <c r="H897" i="1"/>
  <c r="I897" i="1" s="1"/>
  <c r="J897" i="1"/>
  <c r="H898" i="1"/>
  <c r="I898" i="1" s="1"/>
  <c r="J898" i="1" s="1"/>
  <c r="K898" i="1"/>
  <c r="H899" i="1"/>
  <c r="J899" i="1"/>
  <c r="H900" i="1"/>
  <c r="J900" i="1"/>
  <c r="H901" i="1"/>
  <c r="I901" i="1" s="1"/>
  <c r="J901" i="1" s="1"/>
  <c r="K901" i="1"/>
  <c r="H902" i="1"/>
  <c r="I902" i="1" s="1"/>
  <c r="J902" i="1"/>
  <c r="H903" i="1"/>
  <c r="I903" i="1" s="1"/>
  <c r="J903" i="1"/>
  <c r="H904" i="1"/>
  <c r="I904" i="1" s="1"/>
  <c r="J904" i="1" s="1"/>
  <c r="K904" i="1"/>
  <c r="H905" i="1"/>
  <c r="I905" i="1" s="1"/>
  <c r="J905" i="1" s="1"/>
  <c r="K905" i="1"/>
  <c r="H906" i="1"/>
  <c r="I906" i="1" s="1"/>
  <c r="J906" i="1" s="1"/>
  <c r="K906" i="1"/>
  <c r="H907" i="1"/>
  <c r="I907" i="1" s="1"/>
  <c r="J907" i="1" s="1"/>
  <c r="K907" i="1"/>
  <c r="H908" i="1"/>
  <c r="I908" i="1" s="1"/>
  <c r="J908" i="1"/>
  <c r="H909" i="1"/>
  <c r="I909" i="1" s="1"/>
  <c r="J909" i="1"/>
  <c r="H910" i="1"/>
  <c r="I910" i="1" s="1"/>
  <c r="J910" i="1"/>
  <c r="H911" i="1"/>
  <c r="I911" i="1" s="1"/>
  <c r="J911" i="1"/>
  <c r="H912" i="1"/>
  <c r="I912" i="1" s="1"/>
  <c r="J912" i="1"/>
  <c r="H913" i="1"/>
  <c r="I913" i="1" s="1"/>
  <c r="J913" i="1" s="1"/>
  <c r="K913" i="1"/>
  <c r="H914" i="1"/>
  <c r="I914" i="1" s="1"/>
  <c r="J914" i="1" s="1"/>
  <c r="K914" i="1"/>
  <c r="H915" i="1"/>
  <c r="I915" i="1" s="1"/>
  <c r="J915" i="1" s="1"/>
  <c r="K915" i="1"/>
  <c r="H916" i="1"/>
  <c r="J916" i="1"/>
  <c r="H917" i="1"/>
  <c r="I917" i="1" s="1"/>
  <c r="J917" i="1" s="1"/>
  <c r="K917" i="1"/>
  <c r="H918" i="1"/>
  <c r="I918" i="1" s="1"/>
  <c r="J918" i="1" s="1"/>
  <c r="K918" i="1"/>
  <c r="H919" i="1"/>
  <c r="J919" i="1"/>
  <c r="H920" i="1"/>
  <c r="J920" i="1"/>
  <c r="H921" i="1"/>
  <c r="J921" i="1"/>
  <c r="H922" i="1"/>
  <c r="I922" i="1" s="1"/>
  <c r="J922" i="1" s="1"/>
  <c r="K922" i="1"/>
  <c r="H923" i="1"/>
  <c r="I923" i="1" s="1"/>
  <c r="J923" i="1" s="1"/>
  <c r="K923" i="1"/>
  <c r="H924" i="1"/>
  <c r="J924" i="1"/>
  <c r="H925" i="1"/>
  <c r="I925" i="1" s="1"/>
  <c r="J925" i="1" s="1"/>
  <c r="K925" i="1"/>
  <c r="H926" i="1"/>
  <c r="I926" i="1" s="1"/>
  <c r="J926" i="1" s="1"/>
  <c r="K926" i="1"/>
  <c r="H927" i="1"/>
  <c r="J927" i="1"/>
  <c r="H928" i="1"/>
  <c r="J928" i="1"/>
  <c r="H929" i="1"/>
  <c r="I929" i="1" s="1"/>
  <c r="J929" i="1" s="1"/>
  <c r="K929" i="1"/>
  <c r="H930" i="1"/>
  <c r="I930" i="1" s="1"/>
  <c r="K930" i="1" s="1"/>
  <c r="J930" i="1"/>
  <c r="H931" i="1"/>
  <c r="I931" i="1" s="1"/>
  <c r="J931" i="1"/>
  <c r="H932" i="1"/>
  <c r="I932" i="1" s="1"/>
  <c r="J932" i="1"/>
  <c r="H933" i="1"/>
  <c r="I933" i="1" s="1"/>
  <c r="J933" i="1"/>
  <c r="H934" i="1"/>
  <c r="I934" i="1" s="1"/>
  <c r="J934" i="1" s="1"/>
  <c r="K934" i="1"/>
  <c r="H935" i="1"/>
  <c r="I935" i="1" s="1"/>
  <c r="J935" i="1" s="1"/>
  <c r="K935" i="1"/>
  <c r="H936" i="1"/>
  <c r="I936" i="1" s="1"/>
  <c r="J936" i="1"/>
  <c r="H937" i="1"/>
  <c r="I937" i="1" s="1"/>
  <c r="J937" i="1" s="1"/>
  <c r="K937" i="1"/>
  <c r="H938" i="1"/>
  <c r="J938" i="1"/>
  <c r="H939" i="1"/>
  <c r="I939" i="1" s="1"/>
  <c r="J939" i="1" s="1"/>
  <c r="K939" i="1"/>
  <c r="H940" i="1"/>
  <c r="I940" i="1" s="1"/>
  <c r="J940" i="1" s="1"/>
  <c r="K940" i="1"/>
  <c r="H941" i="1"/>
  <c r="I941" i="1" s="1"/>
  <c r="J941" i="1" s="1"/>
  <c r="K941" i="1"/>
  <c r="H942" i="1"/>
  <c r="I942" i="1" s="1"/>
  <c r="J942" i="1" s="1"/>
  <c r="K942" i="1"/>
  <c r="H943" i="1"/>
  <c r="I943" i="1" s="1"/>
  <c r="J943" i="1" s="1"/>
  <c r="K943" i="1"/>
  <c r="H944" i="1"/>
  <c r="I944" i="1" s="1"/>
  <c r="J944" i="1"/>
  <c r="H945" i="1"/>
  <c r="I945" i="1" s="1"/>
  <c r="J945" i="1"/>
  <c r="H946" i="1"/>
  <c r="I946" i="1" s="1"/>
  <c r="J946" i="1"/>
  <c r="H947" i="1"/>
  <c r="I947" i="1" s="1"/>
  <c r="J947" i="1" s="1"/>
  <c r="K947" i="1"/>
  <c r="H948" i="1"/>
  <c r="J948" i="1"/>
  <c r="H949" i="1"/>
  <c r="I949" i="1" s="1"/>
  <c r="J949" i="1" s="1"/>
  <c r="K949" i="1"/>
  <c r="H950" i="1"/>
  <c r="I950" i="1" s="1"/>
  <c r="J950" i="1"/>
  <c r="H951" i="1"/>
  <c r="I951" i="1" s="1"/>
  <c r="J951" i="1" s="1"/>
  <c r="K951" i="1"/>
  <c r="H952" i="1"/>
  <c r="I952" i="1" s="1"/>
  <c r="J952" i="1" s="1"/>
  <c r="K952" i="1"/>
  <c r="H953" i="1"/>
  <c r="I953" i="1" s="1"/>
  <c r="J953" i="1" s="1"/>
  <c r="K953" i="1"/>
  <c r="H954" i="1"/>
  <c r="I954" i="1" s="1"/>
  <c r="J954" i="1" s="1"/>
  <c r="K954" i="1"/>
  <c r="H955" i="1"/>
  <c r="I955" i="1" s="1"/>
  <c r="J955" i="1" s="1"/>
  <c r="K955" i="1"/>
  <c r="H956" i="1"/>
  <c r="J956" i="1"/>
  <c r="H957" i="1"/>
  <c r="I957" i="1" s="1"/>
  <c r="J957" i="1" s="1"/>
  <c r="K957" i="1"/>
  <c r="H958" i="1"/>
  <c r="I958" i="1" s="1"/>
  <c r="J958" i="1" s="1"/>
  <c r="K958" i="1"/>
  <c r="H959" i="1"/>
  <c r="J959" i="1"/>
  <c r="H960" i="1"/>
  <c r="I960" i="1" s="1"/>
  <c r="J960" i="1" s="1"/>
  <c r="K960" i="1"/>
  <c r="H961" i="1"/>
  <c r="I961" i="1" s="1"/>
  <c r="J961" i="1"/>
  <c r="H962" i="1"/>
  <c r="I962" i="1" s="1"/>
  <c r="J962" i="1"/>
  <c r="H963" i="1"/>
  <c r="I963" i="1" s="1"/>
  <c r="J963" i="1"/>
  <c r="H964" i="1"/>
  <c r="I964" i="1" s="1"/>
  <c r="J964" i="1" s="1"/>
  <c r="K964" i="1"/>
  <c r="H965" i="1"/>
  <c r="I965" i="1" s="1"/>
  <c r="J965" i="1" s="1"/>
  <c r="K965" i="1"/>
  <c r="H966" i="1"/>
  <c r="I966" i="1" s="1"/>
  <c r="J966" i="1"/>
  <c r="H967" i="1"/>
  <c r="I967" i="1" s="1"/>
  <c r="J967" i="1" s="1"/>
  <c r="K967" i="1"/>
  <c r="H968" i="1"/>
  <c r="I968" i="1" s="1"/>
  <c r="J968" i="1" s="1"/>
  <c r="K968" i="1"/>
  <c r="H969" i="1"/>
  <c r="I969" i="1" s="1"/>
  <c r="J969" i="1" s="1"/>
  <c r="K969" i="1"/>
  <c r="H970" i="1"/>
  <c r="J970" i="1"/>
  <c r="H971" i="1"/>
  <c r="I971" i="1" s="1"/>
  <c r="J971" i="1"/>
  <c r="K971" i="1"/>
  <c r="H972" i="1"/>
  <c r="I972" i="1" s="1"/>
  <c r="J972" i="1"/>
  <c r="H973" i="1"/>
  <c r="I973" i="1" s="1"/>
  <c r="J973" i="1" s="1"/>
  <c r="K973" i="1"/>
  <c r="H974" i="1"/>
  <c r="I974" i="1" s="1"/>
  <c r="J974" i="1" s="1"/>
  <c r="K974" i="1"/>
  <c r="H975" i="1"/>
  <c r="I975" i="1" s="1"/>
  <c r="J975" i="1" s="1"/>
  <c r="K975" i="1"/>
  <c r="H976" i="1"/>
  <c r="I976" i="1" s="1"/>
  <c r="J976" i="1" s="1"/>
  <c r="K976" i="1"/>
  <c r="H977" i="1"/>
  <c r="I977" i="1" s="1"/>
  <c r="J977" i="1"/>
  <c r="H978" i="1"/>
  <c r="I978" i="1" s="1"/>
  <c r="J978" i="1"/>
  <c r="H979" i="1"/>
  <c r="I979" i="1" s="1"/>
  <c r="J979" i="1"/>
  <c r="H980" i="1"/>
  <c r="I980" i="1" s="1"/>
  <c r="J980" i="1"/>
  <c r="H981" i="1"/>
  <c r="I981" i="1" s="1"/>
  <c r="J981" i="1"/>
  <c r="H982" i="1"/>
  <c r="I982" i="1" s="1"/>
  <c r="J982" i="1" s="1"/>
  <c r="K982" i="1"/>
  <c r="H983" i="1"/>
  <c r="I983" i="1" s="1"/>
  <c r="J983" i="1" s="1"/>
  <c r="K983" i="1"/>
  <c r="H984" i="1"/>
  <c r="I984" i="1" s="1"/>
  <c r="J984" i="1" s="1"/>
  <c r="K984" i="1"/>
  <c r="H985" i="1"/>
  <c r="I985" i="1" s="1"/>
  <c r="J985" i="1" s="1"/>
  <c r="K985" i="1"/>
  <c r="H986" i="1"/>
  <c r="I986" i="1" s="1"/>
  <c r="J986" i="1"/>
  <c r="H987" i="1"/>
  <c r="I987" i="1" s="1"/>
  <c r="J987" i="1"/>
  <c r="H988" i="1"/>
  <c r="I988" i="1" s="1"/>
  <c r="J988" i="1" s="1"/>
  <c r="K988" i="1"/>
  <c r="H989" i="1"/>
  <c r="I989" i="1" s="1"/>
  <c r="J989" i="1" s="1"/>
  <c r="K989" i="1"/>
  <c r="H990" i="1"/>
  <c r="I990" i="1" s="1"/>
  <c r="J990" i="1" s="1"/>
  <c r="K990" i="1"/>
  <c r="H991" i="1"/>
  <c r="I991" i="1" s="1"/>
  <c r="J991" i="1" s="1"/>
  <c r="K991" i="1"/>
  <c r="H992" i="1"/>
  <c r="I992" i="1" s="1"/>
  <c r="J992" i="1" s="1"/>
  <c r="K992" i="1"/>
  <c r="H993" i="1"/>
  <c r="I993" i="1" s="1"/>
  <c r="J993" i="1" s="1"/>
  <c r="K993" i="1"/>
  <c r="H994" i="1"/>
  <c r="I994" i="1" s="1"/>
  <c r="J994" i="1"/>
  <c r="H995" i="1"/>
  <c r="I995" i="1" s="1"/>
  <c r="J995" i="1"/>
  <c r="H996" i="1"/>
  <c r="I996" i="1" s="1"/>
  <c r="J996" i="1" s="1"/>
  <c r="K996" i="1"/>
  <c r="H997" i="1"/>
  <c r="I997" i="1" s="1"/>
  <c r="J997" i="1"/>
  <c r="H998" i="1"/>
  <c r="I998" i="1" s="1"/>
  <c r="J998" i="1"/>
  <c r="H999" i="1"/>
  <c r="I999" i="1" s="1"/>
  <c r="J999" i="1" s="1"/>
  <c r="K999" i="1"/>
  <c r="H1000" i="1"/>
  <c r="I1000" i="1" s="1"/>
  <c r="J1000" i="1"/>
  <c r="H1001" i="1"/>
  <c r="I1001" i="1" s="1"/>
  <c r="J1001" i="1" s="1"/>
  <c r="K1001" i="1"/>
  <c r="H1002" i="1"/>
  <c r="I1002" i="1" s="1"/>
  <c r="J1002" i="1"/>
  <c r="H1003" i="1"/>
  <c r="I1003" i="1" s="1"/>
  <c r="J1003" i="1"/>
  <c r="H1004" i="1"/>
  <c r="I1004" i="1" s="1"/>
  <c r="J1004" i="1"/>
  <c r="H1005" i="1"/>
  <c r="I1005" i="1" s="1"/>
  <c r="J1005" i="1" s="1"/>
  <c r="K1005" i="1"/>
  <c r="H1006" i="1"/>
  <c r="I1006" i="1" s="1"/>
  <c r="J1006" i="1" s="1"/>
  <c r="K1006" i="1"/>
  <c r="H1007" i="1"/>
  <c r="I1007" i="1" s="1"/>
  <c r="J1007" i="1" s="1"/>
  <c r="K1007" i="1"/>
  <c r="H1008" i="1"/>
  <c r="I1008" i="1" s="1"/>
  <c r="J1008" i="1"/>
  <c r="H1009" i="1"/>
  <c r="I1009" i="1" s="1"/>
  <c r="J1009" i="1" s="1"/>
  <c r="K1009" i="1"/>
  <c r="H1010" i="1"/>
  <c r="I1010" i="1" s="1"/>
  <c r="J1010" i="1"/>
  <c r="J12" i="1"/>
  <c r="H12" i="1"/>
  <c r="J708" i="1" l="1"/>
  <c r="K845" i="1"/>
  <c r="K554" i="1"/>
  <c r="K897" i="1"/>
  <c r="K490" i="1"/>
  <c r="K368" i="1"/>
  <c r="K267" i="1"/>
  <c r="K266" i="1"/>
  <c r="K873" i="1"/>
  <c r="J659" i="1"/>
  <c r="K461" i="1"/>
  <c r="K293" i="1"/>
  <c r="K292" i="1"/>
  <c r="K291" i="1"/>
  <c r="K69" i="1"/>
  <c r="K68" i="1"/>
  <c r="K1004" i="1"/>
  <c r="K1003" i="1"/>
  <c r="K1002" i="1"/>
  <c r="K822" i="1"/>
  <c r="K821" i="1"/>
  <c r="K820" i="1"/>
  <c r="J682" i="1"/>
  <c r="J630" i="1"/>
  <c r="K567" i="1"/>
  <c r="K566" i="1"/>
  <c r="K355" i="1"/>
  <c r="K354" i="1"/>
  <c r="K204" i="1"/>
  <c r="K154" i="1"/>
  <c r="K131" i="1"/>
  <c r="K108" i="1"/>
  <c r="K107" i="1"/>
  <c r="K57" i="1"/>
  <c r="K1010" i="1"/>
  <c r="K963" i="1"/>
  <c r="K962" i="1"/>
  <c r="K961" i="1"/>
  <c r="K950" i="1"/>
  <c r="K936" i="1"/>
  <c r="K851" i="1"/>
  <c r="K793" i="1"/>
  <c r="K792" i="1"/>
  <c r="K791" i="1"/>
  <c r="K790" i="1"/>
  <c r="K789" i="1"/>
  <c r="K778" i="1"/>
  <c r="K777" i="1"/>
  <c r="K776" i="1"/>
  <c r="K752" i="1"/>
  <c r="K751" i="1"/>
  <c r="J722" i="1"/>
  <c r="J693" i="1"/>
  <c r="J672" i="1"/>
  <c r="J646" i="1"/>
  <c r="J615" i="1"/>
  <c r="I535" i="1"/>
  <c r="K535" i="1" s="1"/>
  <c r="I534" i="1"/>
  <c r="K534" i="1" s="1"/>
  <c r="I533" i="1"/>
  <c r="K533" i="1" s="1"/>
  <c r="I532" i="1"/>
  <c r="K532" i="1" s="1"/>
  <c r="I378" i="1"/>
  <c r="K378" i="1" s="1"/>
  <c r="I377" i="1"/>
  <c r="K377" i="1" s="1"/>
  <c r="I376" i="1"/>
  <c r="K376" i="1" s="1"/>
  <c r="I375" i="1"/>
  <c r="K375" i="1" s="1"/>
  <c r="I344" i="1"/>
  <c r="K344" i="1" s="1"/>
  <c r="I455" i="1"/>
  <c r="K455" i="1" s="1"/>
  <c r="I454" i="1"/>
  <c r="K454" i="1" s="1"/>
  <c r="K310" i="1"/>
  <c r="K309" i="1"/>
  <c r="K273" i="1"/>
  <c r="K272" i="1"/>
  <c r="K167" i="1"/>
  <c r="K137" i="1"/>
  <c r="K78" i="1"/>
  <c r="K77" i="1"/>
  <c r="K76" i="1"/>
  <c r="K50" i="1"/>
  <c r="K49" i="1"/>
  <c r="K35" i="1"/>
  <c r="I763" i="1"/>
  <c r="K763" i="1" s="1"/>
  <c r="I762" i="1"/>
  <c r="K762" i="1" s="1"/>
  <c r="I714" i="1"/>
  <c r="J714" i="1" s="1"/>
  <c r="I686" i="1"/>
  <c r="J686" i="1" s="1"/>
  <c r="I668" i="1"/>
  <c r="J668" i="1" s="1"/>
  <c r="I638" i="1"/>
  <c r="J638" i="1" s="1"/>
  <c r="I609" i="1"/>
  <c r="J609" i="1" s="1"/>
  <c r="I547" i="1"/>
  <c r="K547" i="1" s="1"/>
  <c r="I546" i="1"/>
  <c r="K546" i="1" s="1"/>
  <c r="K998" i="1"/>
  <c r="K997" i="1"/>
  <c r="K966" i="1"/>
  <c r="K946" i="1"/>
  <c r="K945" i="1"/>
  <c r="K944" i="1"/>
  <c r="K933" i="1"/>
  <c r="K932" i="1"/>
  <c r="K931" i="1"/>
  <c r="K912" i="1"/>
  <c r="K911" i="1"/>
  <c r="K910" i="1"/>
  <c r="K909" i="1"/>
  <c r="K908" i="1"/>
  <c r="K903" i="1"/>
  <c r="K902" i="1"/>
  <c r="K876" i="1"/>
  <c r="K863" i="1"/>
  <c r="K862" i="1"/>
  <c r="K842" i="1"/>
  <c r="K832" i="1"/>
  <c r="K817" i="1"/>
  <c r="K816" i="1"/>
  <c r="K815" i="1"/>
  <c r="K802" i="1"/>
  <c r="K769" i="1"/>
  <c r="K764" i="1"/>
  <c r="I755" i="1"/>
  <c r="K755" i="1" s="1"/>
  <c r="I700" i="1"/>
  <c r="J700" i="1" s="1"/>
  <c r="I677" i="1"/>
  <c r="J677" i="1" s="1"/>
  <c r="I651" i="1"/>
  <c r="J651" i="1" s="1"/>
  <c r="I620" i="1"/>
  <c r="J620" i="1" s="1"/>
  <c r="I578" i="1"/>
  <c r="K578" i="1" s="1"/>
  <c r="I563" i="1"/>
  <c r="K563" i="1" s="1"/>
  <c r="I541" i="1"/>
  <c r="K541" i="1" s="1"/>
  <c r="I540" i="1"/>
  <c r="K540" i="1" s="1"/>
  <c r="I539" i="1"/>
  <c r="K539" i="1" s="1"/>
  <c r="I159" i="1"/>
  <c r="K159" i="1" s="1"/>
  <c r="I158" i="1"/>
  <c r="K158" i="1" s="1"/>
  <c r="I157" i="1"/>
  <c r="K157" i="1" s="1"/>
  <c r="I134" i="1"/>
  <c r="K134" i="1" s="1"/>
  <c r="I122" i="1"/>
  <c r="K122" i="1" s="1"/>
  <c r="I86" i="1"/>
  <c r="K86" i="1" s="1"/>
  <c r="I32" i="1"/>
  <c r="K32" i="1" s="1"/>
  <c r="I31" i="1"/>
  <c r="K31" i="1" s="1"/>
  <c r="I30" i="1"/>
  <c r="K30" i="1" s="1"/>
  <c r="I29" i="1"/>
  <c r="K29" i="1" s="1"/>
  <c r="K538" i="1"/>
  <c r="K526" i="1"/>
  <c r="K505" i="1"/>
  <c r="K504" i="1"/>
  <c r="K498" i="1"/>
  <c r="K497" i="1"/>
  <c r="K496" i="1"/>
  <c r="K487" i="1"/>
  <c r="K486" i="1"/>
  <c r="K480" i="1"/>
  <c r="K479" i="1"/>
  <c r="K478" i="1"/>
  <c r="K458" i="1"/>
  <c r="K434" i="1"/>
  <c r="K358" i="1"/>
  <c r="K351" i="1"/>
  <c r="K341" i="1"/>
  <c r="K340" i="1"/>
  <c r="K339" i="1"/>
  <c r="K329" i="1"/>
  <c r="K328" i="1"/>
  <c r="K296" i="1"/>
  <c r="K288" i="1"/>
  <c r="K260" i="1"/>
  <c r="K259" i="1"/>
  <c r="K247" i="1"/>
  <c r="K242" i="1"/>
  <c r="K241" i="1"/>
  <c r="K220" i="1"/>
  <c r="K219" i="1"/>
  <c r="K201" i="1"/>
  <c r="K200" i="1"/>
  <c r="K199" i="1"/>
  <c r="K189" i="1"/>
  <c r="K188" i="1"/>
  <c r="I176" i="1"/>
  <c r="K176" i="1" s="1"/>
  <c r="I175" i="1"/>
  <c r="K175" i="1" s="1"/>
  <c r="I174" i="1"/>
  <c r="K174" i="1" s="1"/>
  <c r="I173" i="1"/>
  <c r="K173" i="1" s="1"/>
  <c r="I172" i="1"/>
  <c r="K172" i="1" s="1"/>
  <c r="I171" i="1"/>
  <c r="K171" i="1" s="1"/>
  <c r="I170" i="1"/>
  <c r="K170" i="1" s="1"/>
  <c r="I151" i="1"/>
  <c r="K151" i="1" s="1"/>
  <c r="I128" i="1"/>
  <c r="K128" i="1" s="1"/>
  <c r="I127" i="1"/>
  <c r="K127" i="1" s="1"/>
  <c r="I117" i="1"/>
  <c r="K117" i="1" s="1"/>
  <c r="I116" i="1"/>
  <c r="K116" i="1" s="1"/>
  <c r="I115" i="1"/>
  <c r="K115" i="1" s="1"/>
  <c r="I91" i="1"/>
  <c r="K91" i="1" s="1"/>
  <c r="I81" i="1"/>
  <c r="K81" i="1" s="1"/>
  <c r="I53" i="1"/>
  <c r="K53" i="1" s="1"/>
  <c r="I38" i="1"/>
  <c r="K38" i="1" s="1"/>
  <c r="I23" i="1"/>
  <c r="K23" i="1" s="1"/>
  <c r="I22" i="1"/>
  <c r="K22" i="1" s="1"/>
  <c r="I21" i="1"/>
  <c r="K21" i="1" s="1"/>
  <c r="I959" i="1"/>
  <c r="K959" i="1" s="1"/>
  <c r="I900" i="1"/>
  <c r="K900" i="1" s="1"/>
  <c r="I899" i="1"/>
  <c r="K899" i="1" s="1"/>
  <c r="I891" i="1"/>
  <c r="K891" i="1" s="1"/>
  <c r="I860" i="1"/>
  <c r="K860" i="1" s="1"/>
  <c r="I840" i="1"/>
  <c r="K840" i="1" s="1"/>
  <c r="I839" i="1"/>
  <c r="K839" i="1" s="1"/>
  <c r="I830" i="1"/>
  <c r="K830" i="1" s="1"/>
  <c r="I828" i="1"/>
  <c r="K828" i="1" s="1"/>
  <c r="I827" i="1"/>
  <c r="K827" i="1" s="1"/>
  <c r="I826" i="1"/>
  <c r="K826" i="1" s="1"/>
  <c r="I825" i="1"/>
  <c r="K825" i="1" s="1"/>
  <c r="I824" i="1"/>
  <c r="K824" i="1" s="1"/>
  <c r="I813" i="1"/>
  <c r="K813" i="1" s="1"/>
  <c r="I811" i="1"/>
  <c r="K811" i="1" s="1"/>
  <c r="I809" i="1"/>
  <c r="K809" i="1" s="1"/>
  <c r="I808" i="1"/>
  <c r="K808" i="1" s="1"/>
  <c r="I807" i="1"/>
  <c r="K807" i="1" s="1"/>
  <c r="I800" i="1"/>
  <c r="K800" i="1" s="1"/>
  <c r="I799" i="1"/>
  <c r="K799" i="1" s="1"/>
  <c r="I771" i="1"/>
  <c r="K771" i="1" s="1"/>
  <c r="I745" i="1"/>
  <c r="K745" i="1" s="1"/>
  <c r="I744" i="1"/>
  <c r="K744" i="1" s="1"/>
  <c r="I738" i="1"/>
  <c r="K738" i="1" s="1"/>
  <c r="I737" i="1"/>
  <c r="K737" i="1" s="1"/>
  <c r="I732" i="1"/>
  <c r="K732" i="1" s="1"/>
  <c r="I720" i="1"/>
  <c r="J720" i="1" s="1"/>
  <c r="I705" i="1"/>
  <c r="J705" i="1" s="1"/>
  <c r="I690" i="1"/>
  <c r="J690" i="1" s="1"/>
  <c r="I680" i="1"/>
  <c r="J680" i="1" s="1"/>
  <c r="I670" i="1"/>
  <c r="J670" i="1" s="1"/>
  <c r="I653" i="1"/>
  <c r="J653" i="1" s="1"/>
  <c r="I640" i="1"/>
  <c r="J640" i="1" s="1"/>
  <c r="I624" i="1"/>
  <c r="J624" i="1" s="1"/>
  <c r="I612" i="1"/>
  <c r="J612" i="1" s="1"/>
  <c r="I596" i="1"/>
  <c r="K596" i="1" s="1"/>
  <c r="I559" i="1"/>
  <c r="K559" i="1" s="1"/>
  <c r="I530" i="1"/>
  <c r="K530" i="1" s="1"/>
  <c r="I529" i="1"/>
  <c r="K529" i="1" s="1"/>
  <c r="I528" i="1"/>
  <c r="K528" i="1" s="1"/>
  <c r="I519" i="1"/>
  <c r="K519" i="1" s="1"/>
  <c r="I518" i="1"/>
  <c r="K518" i="1" s="1"/>
  <c r="I482" i="1"/>
  <c r="K482" i="1" s="1"/>
  <c r="I473" i="1"/>
  <c r="K473" i="1" s="1"/>
  <c r="I472" i="1"/>
  <c r="K472" i="1" s="1"/>
  <c r="I467" i="1"/>
  <c r="K467" i="1" s="1"/>
  <c r="I466" i="1"/>
  <c r="K466" i="1" s="1"/>
  <c r="I465" i="1"/>
  <c r="K465" i="1" s="1"/>
  <c r="I452" i="1"/>
  <c r="K452" i="1" s="1"/>
  <c r="I451" i="1"/>
  <c r="K451" i="1" s="1"/>
  <c r="I450" i="1"/>
  <c r="K450" i="1" s="1"/>
  <c r="I445" i="1"/>
  <c r="K445" i="1" s="1"/>
  <c r="I430" i="1"/>
  <c r="K430" i="1" s="1"/>
  <c r="I429" i="1"/>
  <c r="K429" i="1" s="1"/>
  <c r="I428" i="1"/>
  <c r="K428" i="1" s="1"/>
  <c r="I427" i="1"/>
  <c r="K427" i="1" s="1"/>
  <c r="I426" i="1"/>
  <c r="K426" i="1" s="1"/>
  <c r="I425" i="1"/>
  <c r="K425" i="1" s="1"/>
  <c r="I414" i="1"/>
  <c r="K414" i="1" s="1"/>
  <c r="I413" i="1"/>
  <c r="K413" i="1" s="1"/>
  <c r="I412" i="1"/>
  <c r="K412" i="1" s="1"/>
  <c r="I398" i="1"/>
  <c r="K398" i="1" s="1"/>
  <c r="I397" i="1"/>
  <c r="K397" i="1" s="1"/>
  <c r="I396" i="1"/>
  <c r="K396" i="1" s="1"/>
  <c r="I395" i="1"/>
  <c r="K395" i="1" s="1"/>
  <c r="I394" i="1"/>
  <c r="K394" i="1" s="1"/>
  <c r="I393" i="1"/>
  <c r="K393" i="1" s="1"/>
  <c r="I392" i="1"/>
  <c r="K392" i="1" s="1"/>
  <c r="I391" i="1"/>
  <c r="K391" i="1" s="1"/>
  <c r="I390" i="1"/>
  <c r="K390" i="1" s="1"/>
  <c r="I373" i="1"/>
  <c r="K373" i="1" s="1"/>
  <c r="I372" i="1"/>
  <c r="K372" i="1" s="1"/>
  <c r="I366" i="1"/>
  <c r="K366" i="1" s="1"/>
  <c r="I315" i="1"/>
  <c r="K315" i="1" s="1"/>
  <c r="I314" i="1"/>
  <c r="K314" i="1" s="1"/>
  <c r="I307" i="1"/>
  <c r="K307" i="1" s="1"/>
  <c r="I278" i="1"/>
  <c r="K278" i="1" s="1"/>
  <c r="I277" i="1"/>
  <c r="K277" i="1" s="1"/>
  <c r="I264" i="1"/>
  <c r="K264" i="1" s="1"/>
  <c r="I263" i="1"/>
  <c r="K263" i="1" s="1"/>
  <c r="I255" i="1"/>
  <c r="K255" i="1" s="1"/>
  <c r="I250" i="1"/>
  <c r="K250" i="1" s="1"/>
  <c r="I249" i="1"/>
  <c r="K249" i="1" s="1"/>
  <c r="I237" i="1"/>
  <c r="K237" i="1" s="1"/>
  <c r="I215" i="1"/>
  <c r="K215" i="1" s="1"/>
  <c r="I208" i="1"/>
  <c r="K208" i="1" s="1"/>
  <c r="I191" i="1"/>
  <c r="K191" i="1" s="1"/>
  <c r="I182" i="1"/>
  <c r="K182" i="1" s="1"/>
  <c r="I181" i="1"/>
  <c r="K181" i="1" s="1"/>
  <c r="I948" i="1"/>
  <c r="K948" i="1" s="1"/>
  <c r="I924" i="1"/>
  <c r="K924" i="1" s="1"/>
  <c r="I916" i="1"/>
  <c r="K916" i="1" s="1"/>
  <c r="I893" i="1"/>
  <c r="K893" i="1" s="1"/>
  <c r="I892" i="1"/>
  <c r="K892" i="1" s="1"/>
  <c r="I890" i="1"/>
  <c r="K890" i="1" s="1"/>
  <c r="I869" i="1"/>
  <c r="K869" i="1" s="1"/>
  <c r="I868" i="1"/>
  <c r="K868" i="1" s="1"/>
  <c r="I867" i="1"/>
  <c r="K867" i="1" s="1"/>
  <c r="I847" i="1"/>
  <c r="K847" i="1" s="1"/>
  <c r="I829" i="1"/>
  <c r="K829" i="1" s="1"/>
  <c r="I812" i="1"/>
  <c r="K812" i="1" s="1"/>
  <c r="I810" i="1"/>
  <c r="K810" i="1" s="1"/>
  <c r="I12" i="1"/>
  <c r="K12" i="1" s="1"/>
  <c r="K1008" i="1"/>
  <c r="K1000" i="1"/>
  <c r="K995" i="1"/>
  <c r="K994" i="1"/>
  <c r="K987" i="1"/>
  <c r="K986" i="1"/>
  <c r="K981" i="1"/>
  <c r="K980" i="1"/>
  <c r="K979" i="1"/>
  <c r="K978" i="1"/>
  <c r="K977" i="1"/>
  <c r="K972" i="1"/>
  <c r="I970" i="1"/>
  <c r="K970" i="1" s="1"/>
  <c r="I956" i="1"/>
  <c r="K956" i="1" s="1"/>
  <c r="I938" i="1"/>
  <c r="K938" i="1" s="1"/>
  <c r="I928" i="1"/>
  <c r="K928" i="1" s="1"/>
  <c r="I927" i="1"/>
  <c r="K927" i="1" s="1"/>
  <c r="I921" i="1"/>
  <c r="K921" i="1" s="1"/>
  <c r="I920" i="1"/>
  <c r="K920" i="1" s="1"/>
  <c r="I919" i="1"/>
  <c r="K919" i="1" s="1"/>
  <c r="I887" i="1"/>
  <c r="K887" i="1" s="1"/>
  <c r="I886" i="1"/>
  <c r="K886" i="1" s="1"/>
  <c r="I857" i="1"/>
  <c r="K857" i="1" s="1"/>
  <c r="I856" i="1"/>
  <c r="K856" i="1" s="1"/>
  <c r="I855" i="1"/>
  <c r="K855" i="1" s="1"/>
  <c r="I836" i="1"/>
  <c r="K836" i="1" s="1"/>
  <c r="I835" i="1"/>
  <c r="K835" i="1" s="1"/>
  <c r="I834" i="1"/>
  <c r="K834" i="1" s="1"/>
  <c r="I804" i="1"/>
  <c r="K804" i="1" s="1"/>
  <c r="I783" i="1"/>
  <c r="K783" i="1" s="1"/>
  <c r="I782" i="1"/>
  <c r="K782" i="1" s="1"/>
  <c r="I760" i="1"/>
  <c r="K760" i="1" s="1"/>
  <c r="I759" i="1"/>
  <c r="K759" i="1" s="1"/>
  <c r="I741" i="1"/>
  <c r="K741" i="1" s="1"/>
  <c r="I729" i="1"/>
  <c r="K729" i="1" s="1"/>
  <c r="I710" i="1"/>
  <c r="J710" i="1" s="1"/>
  <c r="I698" i="1"/>
  <c r="J698" i="1" s="1"/>
  <c r="I684" i="1"/>
  <c r="J684" i="1" s="1"/>
  <c r="I674" i="1"/>
  <c r="J674" i="1" s="1"/>
  <c r="I664" i="1"/>
  <c r="J664" i="1" s="1"/>
  <c r="I648" i="1"/>
  <c r="J648" i="1" s="1"/>
  <c r="I634" i="1"/>
  <c r="J634" i="1" s="1"/>
  <c r="I618" i="1"/>
  <c r="J618" i="1" s="1"/>
  <c r="I599" i="1"/>
  <c r="K599" i="1" s="1"/>
  <c r="I593" i="1"/>
  <c r="K593" i="1" s="1"/>
  <c r="I592" i="1"/>
  <c r="K592" i="1" s="1"/>
  <c r="I587" i="1"/>
  <c r="K587" i="1" s="1"/>
  <c r="I586" i="1"/>
  <c r="K586" i="1" s="1"/>
  <c r="I585" i="1"/>
  <c r="K585" i="1" s="1"/>
  <c r="I584" i="1"/>
  <c r="K584" i="1" s="1"/>
  <c r="I583" i="1"/>
  <c r="K583" i="1" s="1"/>
  <c r="I582" i="1"/>
  <c r="K582" i="1" s="1"/>
  <c r="I576" i="1"/>
  <c r="K576" i="1" s="1"/>
  <c r="I575" i="1"/>
  <c r="K575" i="1" s="1"/>
  <c r="I574" i="1"/>
  <c r="K574" i="1" s="1"/>
  <c r="I569" i="1"/>
  <c r="K569" i="1" s="1"/>
  <c r="I556" i="1"/>
  <c r="K556" i="1" s="1"/>
  <c r="I524" i="1"/>
  <c r="K524" i="1" s="1"/>
  <c r="I523" i="1"/>
  <c r="K523" i="1" s="1"/>
  <c r="I522" i="1"/>
  <c r="K522" i="1" s="1"/>
  <c r="I515" i="1"/>
  <c r="K515" i="1" s="1"/>
  <c r="I514" i="1"/>
  <c r="K514" i="1" s="1"/>
  <c r="I513" i="1"/>
  <c r="K513" i="1" s="1"/>
  <c r="I502" i="1"/>
  <c r="K502" i="1" s="1"/>
  <c r="I494" i="1"/>
  <c r="K494" i="1" s="1"/>
  <c r="I493" i="1"/>
  <c r="K493" i="1" s="1"/>
  <c r="I492" i="1"/>
  <c r="K492" i="1" s="1"/>
  <c r="I476" i="1"/>
  <c r="K476" i="1" s="1"/>
  <c r="I438" i="1"/>
  <c r="K438" i="1" s="1"/>
  <c r="I418" i="1"/>
  <c r="K418" i="1" s="1"/>
  <c r="I417" i="1"/>
  <c r="K417" i="1" s="1"/>
  <c r="I409" i="1"/>
  <c r="K409" i="1" s="1"/>
  <c r="I408" i="1"/>
  <c r="K408" i="1" s="1"/>
  <c r="I403" i="1"/>
  <c r="K403" i="1" s="1"/>
  <c r="I402" i="1"/>
  <c r="K402" i="1" s="1"/>
  <c r="I401" i="1"/>
  <c r="K401" i="1" s="1"/>
  <c r="I387" i="1"/>
  <c r="K387" i="1" s="1"/>
  <c r="I386" i="1"/>
  <c r="K386" i="1" s="1"/>
  <c r="I385" i="1"/>
  <c r="K385" i="1" s="1"/>
  <c r="I384" i="1"/>
  <c r="K384" i="1" s="1"/>
  <c r="I363" i="1"/>
  <c r="K363" i="1" s="1"/>
  <c r="I362" i="1"/>
  <c r="K362" i="1" s="1"/>
  <c r="I349" i="1"/>
  <c r="K349" i="1" s="1"/>
  <c r="I348" i="1"/>
  <c r="K348" i="1" s="1"/>
  <c r="I347" i="1"/>
  <c r="K347" i="1" s="1"/>
  <c r="I346" i="1"/>
  <c r="K346" i="1" s="1"/>
  <c r="I337" i="1"/>
  <c r="K337" i="1" s="1"/>
  <c r="I326" i="1"/>
  <c r="K326" i="1" s="1"/>
  <c r="I300" i="1"/>
  <c r="K300" i="1" s="1"/>
  <c r="I286" i="1"/>
  <c r="K286" i="1" s="1"/>
  <c r="I281" i="1"/>
  <c r="K281" i="1" s="1"/>
  <c r="I234" i="1"/>
  <c r="K234" i="1" s="1"/>
  <c r="I229" i="1"/>
  <c r="K229" i="1" s="1"/>
  <c r="I228" i="1"/>
  <c r="K228" i="1" s="1"/>
  <c r="I212" i="1"/>
  <c r="K212" i="1" s="1"/>
  <c r="I211" i="1"/>
  <c r="K211" i="1" s="1"/>
  <c r="I197" i="1"/>
  <c r="K197" i="1" s="1"/>
  <c r="I196" i="1"/>
  <c r="K196" i="1" s="1"/>
  <c r="I195" i="1"/>
  <c r="K195" i="1" s="1"/>
  <c r="I194" i="1"/>
  <c r="K194" i="1" s="1"/>
  <c r="I186" i="1"/>
  <c r="K186" i="1" s="1"/>
  <c r="I178" i="1"/>
  <c r="K178" i="1" s="1"/>
  <c r="I165" i="1"/>
  <c r="K165" i="1" s="1"/>
  <c r="I164" i="1"/>
  <c r="K164" i="1" s="1"/>
  <c r="I163" i="1"/>
  <c r="K163" i="1" s="1"/>
  <c r="I162" i="1"/>
  <c r="K162" i="1" s="1"/>
  <c r="I161" i="1"/>
  <c r="K161" i="1" s="1"/>
  <c r="I147" i="1"/>
  <c r="K147" i="1" s="1"/>
  <c r="I146" i="1"/>
  <c r="K146" i="1" s="1"/>
  <c r="I62" i="1"/>
  <c r="K62" i="1" s="1"/>
  <c r="I61" i="1"/>
  <c r="K61" i="1" s="1"/>
  <c r="I55" i="1"/>
  <c r="K55" i="1" s="1"/>
  <c r="I47" i="1"/>
  <c r="K47" i="1" s="1"/>
  <c r="I46" i="1"/>
  <c r="K46" i="1" s="1"/>
  <c r="I45" i="1"/>
  <c r="K45" i="1" s="1"/>
  <c r="I44" i="1"/>
  <c r="K44" i="1" s="1"/>
  <c r="I17" i="1"/>
  <c r="K17" i="1" s="1"/>
  <c r="I16" i="1"/>
  <c r="K16" i="1" s="1"/>
  <c r="I139" i="1"/>
  <c r="K139" i="1" s="1"/>
  <c r="I103" i="1"/>
  <c r="K103" i="1" s="1"/>
  <c r="I98" i="1"/>
  <c r="K98" i="1" s="1"/>
  <c r="I97" i="1"/>
  <c r="K97" i="1" s="1"/>
  <c r="I96" i="1"/>
  <c r="K96" i="1" s="1"/>
  <c r="I95" i="1"/>
  <c r="K95" i="1" s="1"/>
  <c r="I72" i="1"/>
  <c r="K72" i="1" s="1"/>
  <c r="I71" i="1"/>
  <c r="K71" i="1" s="1"/>
  <c r="I27" i="1"/>
  <c r="K27" i="1" s="1"/>
  <c r="I13" i="1"/>
  <c r="K13" i="1" s="1"/>
  <c r="K1020" i="1"/>
  <c r="K1019" i="1"/>
  <c r="K1018" i="1"/>
  <c r="K1017" i="1"/>
  <c r="K1016" i="1"/>
  <c r="K1015" i="1"/>
  <c r="K1014" i="1"/>
  <c r="K1013" i="1"/>
  <c r="K1012" i="1"/>
  <c r="K1011" i="1"/>
  <c r="I718" i="1"/>
  <c r="K718" i="1" s="1"/>
  <c r="I717" i="1"/>
  <c r="K717" i="1" s="1"/>
  <c r="I716" i="1"/>
  <c r="K716" i="1" s="1"/>
  <c r="I715" i="1"/>
  <c r="K715" i="1" s="1"/>
  <c r="I712" i="1"/>
  <c r="K712" i="1" s="1"/>
  <c r="I711" i="1"/>
  <c r="K711" i="1" s="1"/>
  <c r="I706" i="1"/>
  <c r="K706" i="1" s="1"/>
  <c r="I701" i="1"/>
  <c r="K701" i="1" s="1"/>
  <c r="I662" i="1"/>
  <c r="K662" i="1" s="1"/>
  <c r="I661" i="1"/>
  <c r="K661" i="1" s="1"/>
  <c r="I660" i="1"/>
  <c r="K660" i="1" s="1"/>
  <c r="I656" i="1"/>
  <c r="K656" i="1" s="1"/>
  <c r="I655" i="1"/>
  <c r="K655" i="1" s="1"/>
  <c r="I654" i="1"/>
  <c r="K654" i="1" s="1"/>
  <c r="I649" i="1"/>
  <c r="K649" i="1" s="1"/>
  <c r="I636" i="1"/>
  <c r="K636" i="1" s="1"/>
  <c r="I635" i="1"/>
  <c r="K635" i="1" s="1"/>
  <c r="I628" i="1"/>
  <c r="K628" i="1" s="1"/>
  <c r="I627" i="1"/>
  <c r="K627" i="1" s="1"/>
  <c r="I626" i="1"/>
  <c r="K626" i="1" s="1"/>
  <c r="I625" i="1"/>
  <c r="K625" i="1" s="1"/>
  <c r="I616" i="1"/>
  <c r="K616" i="1" s="1"/>
  <c r="I728" i="1"/>
  <c r="K728" i="1" s="1"/>
  <c r="I727" i="1"/>
  <c r="K727" i="1" s="1"/>
  <c r="I726" i="1"/>
  <c r="K726" i="1" s="1"/>
  <c r="I725" i="1"/>
  <c r="K725" i="1" s="1"/>
  <c r="I724" i="1"/>
  <c r="K724" i="1" s="1"/>
  <c r="J723" i="1"/>
  <c r="J721" i="1"/>
  <c r="J719" i="1"/>
  <c r="J713" i="1"/>
  <c r="J709" i="1"/>
  <c r="J707" i="1"/>
  <c r="I704" i="1"/>
  <c r="K704" i="1" s="1"/>
  <c r="I703" i="1"/>
  <c r="K703" i="1" s="1"/>
  <c r="J702" i="1"/>
  <c r="J699" i="1"/>
  <c r="I697" i="1"/>
  <c r="K697" i="1" s="1"/>
  <c r="I696" i="1"/>
  <c r="K696" i="1" s="1"/>
  <c r="I695" i="1"/>
  <c r="K695" i="1" s="1"/>
  <c r="J694" i="1"/>
  <c r="I692" i="1"/>
  <c r="K692" i="1" s="1"/>
  <c r="J691" i="1"/>
  <c r="I689" i="1"/>
  <c r="K689" i="1" s="1"/>
  <c r="I688" i="1"/>
  <c r="K688" i="1" s="1"/>
  <c r="J687" i="1"/>
  <c r="J685" i="1"/>
  <c r="J683" i="1"/>
  <c r="J681" i="1"/>
  <c r="I679" i="1"/>
  <c r="K679" i="1" s="1"/>
  <c r="J678" i="1"/>
  <c r="I676" i="1"/>
  <c r="K676" i="1" s="1"/>
  <c r="J675" i="1"/>
  <c r="J673" i="1"/>
  <c r="J671" i="1"/>
  <c r="J669" i="1"/>
  <c r="I667" i="1"/>
  <c r="K667" i="1" s="1"/>
  <c r="I666" i="1"/>
  <c r="K666" i="1" s="1"/>
  <c r="J665" i="1"/>
  <c r="J663" i="1"/>
  <c r="I658" i="1"/>
  <c r="K658" i="1" s="1"/>
  <c r="J657" i="1"/>
  <c r="J652" i="1"/>
  <c r="J650" i="1"/>
  <c r="J647" i="1"/>
  <c r="I645" i="1"/>
  <c r="K645" i="1" s="1"/>
  <c r="I644" i="1"/>
  <c r="K644" i="1" s="1"/>
  <c r="I643" i="1"/>
  <c r="K643" i="1" s="1"/>
  <c r="I642" i="1"/>
  <c r="K642" i="1" s="1"/>
  <c r="J641" i="1"/>
  <c r="J639" i="1"/>
  <c r="J637" i="1"/>
  <c r="I633" i="1"/>
  <c r="K633" i="1" s="1"/>
  <c r="I632" i="1"/>
  <c r="K632" i="1" s="1"/>
  <c r="J631" i="1"/>
  <c r="J629" i="1"/>
  <c r="I623" i="1"/>
  <c r="K623" i="1" s="1"/>
  <c r="I622" i="1"/>
  <c r="K622" i="1" s="1"/>
  <c r="J621" i="1"/>
  <c r="J619" i="1"/>
  <c r="J617" i="1"/>
  <c r="I614" i="1"/>
  <c r="K614" i="1" s="1"/>
  <c r="J613" i="1"/>
  <c r="I611" i="1"/>
  <c r="K611" i="1" s="1"/>
  <c r="J610" i="1"/>
  <c r="K9" i="1" l="1"/>
  <c r="J8" i="1"/>
  <c r="K8" i="1"/>
  <c r="J9" i="1"/>
</calcChain>
</file>

<file path=xl/sharedStrings.xml><?xml version="1.0" encoding="utf-8"?>
<sst xmlns="http://schemas.openxmlformats.org/spreadsheetml/2006/main" count="3021" uniqueCount="56">
  <si>
    <t>매입</t>
  </si>
  <si>
    <t>매입</t>
    <phoneticPr fontId="2" type="noConversion"/>
  </si>
  <si>
    <t>구분</t>
    <phoneticPr fontId="2" type="noConversion"/>
  </si>
  <si>
    <t>금액</t>
    <phoneticPr fontId="2" type="noConversion"/>
  </si>
  <si>
    <t>세액</t>
    <phoneticPr fontId="2" type="noConversion"/>
  </si>
  <si>
    <t>매입액</t>
    <phoneticPr fontId="2" type="noConversion"/>
  </si>
  <si>
    <t>매출액</t>
    <phoneticPr fontId="2" type="noConversion"/>
  </si>
  <si>
    <t>일자</t>
    <phoneticPr fontId="2" type="noConversion"/>
  </si>
  <si>
    <t>거래처</t>
    <phoneticPr fontId="2" type="noConversion"/>
  </si>
  <si>
    <t>수량</t>
    <phoneticPr fontId="2" type="noConversion"/>
  </si>
  <si>
    <t>단가</t>
    <phoneticPr fontId="2" type="noConversion"/>
  </si>
  <si>
    <t>안동 사과</t>
  </si>
  <si>
    <t>매출</t>
  </si>
  <si>
    <t>망고스틴</t>
  </si>
  <si>
    <t>하우스 귤</t>
  </si>
  <si>
    <t>애플 망고</t>
  </si>
  <si>
    <t>햇복숭아</t>
  </si>
  <si>
    <t>청매실</t>
  </si>
  <si>
    <t>골드키위</t>
  </si>
  <si>
    <t>아오리 사과</t>
  </si>
  <si>
    <t>람부틴</t>
  </si>
  <si>
    <t>열대과일 리치</t>
  </si>
  <si>
    <t>아이스 딸기</t>
  </si>
  <si>
    <t>블루베리 생과</t>
  </si>
  <si>
    <t>미국산 체리</t>
  </si>
  <si>
    <t>햇자두</t>
  </si>
  <si>
    <t>천도 복숭아</t>
  </si>
  <si>
    <t>아이스홍시</t>
  </si>
  <si>
    <t>후레쉬 체리</t>
  </si>
  <si>
    <t>싱싱딸기</t>
  </si>
  <si>
    <t>합계</t>
    <phoneticPr fontId="2" type="noConversion"/>
  </si>
  <si>
    <t>건수</t>
    <phoneticPr fontId="2" type="noConversion"/>
  </si>
  <si>
    <t>매입액</t>
    <phoneticPr fontId="2" type="noConversion"/>
  </si>
  <si>
    <t>매출액</t>
    <phoneticPr fontId="2" type="noConversion"/>
  </si>
  <si>
    <t>전체</t>
    <phoneticPr fontId="2" type="noConversion"/>
  </si>
  <si>
    <t>매출</t>
    <phoneticPr fontId="2" type="noConversion"/>
  </si>
  <si>
    <t>H</t>
  </si>
  <si>
    <t>C</t>
  </si>
  <si>
    <t>B</t>
  </si>
  <si>
    <t>A</t>
  </si>
  <si>
    <t>J</t>
  </si>
  <si>
    <t>I</t>
  </si>
  <si>
    <t>D</t>
  </si>
  <si>
    <t>E</t>
  </si>
  <si>
    <t>F</t>
  </si>
  <si>
    <t>G</t>
  </si>
  <si>
    <t>검색</t>
    <phoneticPr fontId="2" type="noConversion"/>
  </si>
  <si>
    <t>담당자 :</t>
    <phoneticPr fontId="2" type="noConversion"/>
  </si>
  <si>
    <t>최근변경일 :</t>
    <phoneticPr fontId="2" type="noConversion"/>
  </si>
  <si>
    <t>이한결 (자재부)</t>
    <phoneticPr fontId="2" type="noConversion"/>
  </si>
  <si>
    <t>분기</t>
    <phoneticPr fontId="2" type="noConversion"/>
  </si>
  <si>
    <t>매입/매출</t>
    <phoneticPr fontId="2" type="noConversion"/>
  </si>
  <si>
    <t>매입/매출 통합관리대장</t>
    <phoneticPr fontId="2" type="noConversion"/>
  </si>
  <si>
    <t>분기별 검색 조건</t>
    <phoneticPr fontId="2" type="noConversion"/>
  </si>
  <si>
    <t>매입/매출 검색 조건</t>
    <phoneticPr fontId="2" type="noConversion"/>
  </si>
  <si>
    <t>품명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</si>
</sst>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/dd"/>
    <numFmt numFmtId="177" formatCode="yyyy&quot;년&quot;\ m&quot;월&quot;\ d&quot;일&quot;\ \(aaa\)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.5"/>
      <color theme="1"/>
      <name val="맑은 고딕"/>
      <family val="2"/>
      <charset val="129"/>
      <scheme val="minor"/>
    </font>
    <font>
      <b/>
      <sz val="10.5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.5"/>
      <name val="맑은 고딕"/>
      <family val="3"/>
      <charset val="129"/>
      <scheme val="minor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5FFEF"/>
        <bgColor indexed="64"/>
      </patternFill>
    </fill>
    <fill>
      <gradientFill degree="90">
        <stop position="0">
          <color theme="8" tint="0.80001220740379042"/>
        </stop>
        <stop position="0.5">
          <color rgb="FFF5FFEF"/>
        </stop>
        <stop position="1">
          <color theme="8" tint="0.80001220740379042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8" tint="-0.24994659260841701"/>
      </bottom>
      <diagonal/>
    </border>
    <border>
      <left style="double">
        <color theme="8" tint="-0.24994659260841701"/>
      </left>
      <right/>
      <top style="double">
        <color theme="8" tint="-0.24994659260841701"/>
      </top>
      <bottom style="double">
        <color theme="8" tint="-0.24994659260841701"/>
      </bottom>
      <diagonal/>
    </border>
    <border>
      <left/>
      <right/>
      <top style="double">
        <color theme="8" tint="-0.24994659260841701"/>
      </top>
      <bottom style="double">
        <color theme="8" tint="-0.24994659260841701"/>
      </bottom>
      <diagonal/>
    </border>
    <border>
      <left/>
      <right style="double">
        <color theme="8" tint="-0.24994659260841701"/>
      </right>
      <top style="double">
        <color theme="8" tint="-0.24994659260841701"/>
      </top>
      <bottom style="double">
        <color theme="8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distributed" vertical="center" justifyLastLine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 applyAlignment="1">
      <alignment horizontal="right" vertical="center" indent="1"/>
    </xf>
    <xf numFmtId="41" fontId="5" fillId="3" borderId="1" xfId="1" applyFont="1" applyFill="1" applyBorder="1">
      <alignment vertical="center"/>
    </xf>
    <xf numFmtId="0" fontId="5" fillId="3" borderId="1" xfId="0" applyFont="1" applyFill="1" applyBorder="1" applyAlignment="1">
      <alignment horizontal="distributed" vertical="center" justifyLastLine="1"/>
    </xf>
    <xf numFmtId="0" fontId="3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distributed" vertical="center" indent="1"/>
    </xf>
    <xf numFmtId="0" fontId="3" fillId="0" borderId="2" xfId="0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left" vertical="center"/>
    </xf>
    <xf numFmtId="0" fontId="6" fillId="4" borderId="3" xfId="0" applyFont="1" applyFill="1" applyBorder="1" applyAlignment="1">
      <alignment horizontal="distributed" vertical="center" indent="5"/>
    </xf>
    <xf numFmtId="0" fontId="6" fillId="4" borderId="4" xfId="0" applyFont="1" applyFill="1" applyBorder="1" applyAlignment="1">
      <alignment horizontal="distributed" vertical="center" indent="5"/>
    </xf>
    <xf numFmtId="0" fontId="6" fillId="4" borderId="5" xfId="0" applyFont="1" applyFill="1" applyBorder="1" applyAlignment="1">
      <alignment horizontal="distributed" vertical="center" indent="5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1"/>
    </xf>
    <xf numFmtId="0" fontId="8" fillId="5" borderId="6" xfId="0" applyFont="1" applyFill="1" applyBorder="1" applyAlignment="1">
      <alignment horizontal="left" vertical="center" indent="1"/>
    </xf>
    <xf numFmtId="0" fontId="9" fillId="0" borderId="7" xfId="0" applyFont="1" applyBorder="1">
      <alignment vertical="center"/>
    </xf>
    <xf numFmtId="0" fontId="9" fillId="0" borderId="8" xfId="0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colors>
    <mruColors>
      <color rgb="FFF5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M$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N$5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4</xdr:row>
          <xdr:rowOff>85725</xdr:rowOff>
        </xdr:from>
        <xdr:to>
          <xdr:col>2</xdr:col>
          <xdr:colOff>114300</xdr:colOff>
          <xdr:row>4</xdr:row>
          <xdr:rowOff>333375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1분기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</xdr:colOff>
          <xdr:row>4</xdr:row>
          <xdr:rowOff>85725</xdr:rowOff>
        </xdr:from>
        <xdr:to>
          <xdr:col>3</xdr:col>
          <xdr:colOff>261937</xdr:colOff>
          <xdr:row>4</xdr:row>
          <xdr:rowOff>333375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2분기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352424</xdr:colOff>
          <xdr:row>4</xdr:row>
          <xdr:rowOff>85725</xdr:rowOff>
        </xdr:from>
        <xdr:to>
          <xdr:col>3</xdr:col>
          <xdr:colOff>923924</xdr:colOff>
          <xdr:row>4</xdr:row>
          <xdr:rowOff>333375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3분기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33336</xdr:colOff>
          <xdr:row>4</xdr:row>
          <xdr:rowOff>85725</xdr:rowOff>
        </xdr:from>
        <xdr:to>
          <xdr:col>5</xdr:col>
          <xdr:colOff>223836</xdr:colOff>
          <xdr:row>4</xdr:row>
          <xdr:rowOff>333375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4분기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4</xdr:row>
          <xdr:rowOff>85725</xdr:rowOff>
        </xdr:from>
        <xdr:to>
          <xdr:col>6</xdr:col>
          <xdr:colOff>504825</xdr:colOff>
          <xdr:row>4</xdr:row>
          <xdr:rowOff>333375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4</xdr:row>
          <xdr:rowOff>95250</xdr:rowOff>
        </xdr:from>
        <xdr:to>
          <xdr:col>9</xdr:col>
          <xdr:colOff>190500</xdr:colOff>
          <xdr:row>4</xdr:row>
          <xdr:rowOff>342900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매입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4</xdr:row>
          <xdr:rowOff>95250</xdr:rowOff>
        </xdr:from>
        <xdr:to>
          <xdr:col>10</xdr:col>
          <xdr:colOff>19050</xdr:colOff>
          <xdr:row>4</xdr:row>
          <xdr:rowOff>342900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매출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</xdr:row>
          <xdr:rowOff>95250</xdr:rowOff>
        </xdr:from>
        <xdr:to>
          <xdr:col>10</xdr:col>
          <xdr:colOff>733425</xdr:colOff>
          <xdr:row>4</xdr:row>
          <xdr:rowOff>342900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B1:N1020"/>
  <sheetViews>
    <sheetView showGridLines="0" tabSelected="1" workbookViewId="0">
      <selection activeCell="B11" sqref="B11"/>
    </sheetView>
  </sheetViews>
  <sheetFormatPr defaultRowHeight="15.75"/>
  <cols>
    <col min="1" max="1" width="1.125" style="1" customWidth="1"/>
    <col min="2" max="2" width="8.125" style="1" bestFit="1" customWidth="1"/>
    <col min="3" max="3" width="6.75" style="1" bestFit="1" customWidth="1"/>
    <col min="4" max="4" width="12.875" style="1" bestFit="1" customWidth="1"/>
    <col min="5" max="6" width="5" style="1" bestFit="1" customWidth="1"/>
    <col min="7" max="7" width="8.375" style="1" bestFit="1" customWidth="1"/>
    <col min="8" max="8" width="10.875" style="1" bestFit="1" customWidth="1"/>
    <col min="9" max="9" width="9.375" style="1" bestFit="1" customWidth="1"/>
    <col min="10" max="11" width="11.625" style="1" customWidth="1"/>
    <col min="12" max="12" width="9" style="1"/>
    <col min="13" max="14" width="9" style="1" hidden="1" customWidth="1"/>
    <col min="15" max="16384" width="9" style="1"/>
  </cols>
  <sheetData>
    <row r="1" spans="2:14" ht="6.75" customHeight="1" thickBot="1"/>
    <row r="2" spans="2:14" ht="36" customHeight="1" thickTop="1" thickBot="1">
      <c r="B2" s="18" t="s">
        <v>52</v>
      </c>
      <c r="C2" s="19"/>
      <c r="D2" s="19"/>
      <c r="E2" s="19"/>
      <c r="F2" s="19"/>
      <c r="G2" s="19"/>
      <c r="H2" s="19"/>
      <c r="I2" s="19"/>
      <c r="J2" s="19"/>
      <c r="K2" s="20"/>
    </row>
    <row r="3" spans="2:14" ht="16.5" thickTop="1"/>
    <row r="4" spans="2:14" ht="15.75" customHeight="1">
      <c r="B4" s="25" t="s">
        <v>53</v>
      </c>
      <c r="C4" s="26"/>
      <c r="D4" s="27"/>
      <c r="I4" s="24" t="s">
        <v>54</v>
      </c>
      <c r="J4" s="24"/>
      <c r="M4" s="12" t="s">
        <v>50</v>
      </c>
      <c r="N4" s="12" t="s">
        <v>51</v>
      </c>
    </row>
    <row r="5" spans="2:14" ht="33.75" customHeight="1">
      <c r="B5" s="21"/>
      <c r="C5" s="22"/>
      <c r="D5" s="22"/>
      <c r="E5" s="22"/>
      <c r="F5" s="22"/>
      <c r="G5" s="22"/>
      <c r="H5" s="11"/>
      <c r="I5" s="23"/>
      <c r="J5" s="23"/>
      <c r="K5" s="23"/>
      <c r="M5" s="13">
        <v>3</v>
      </c>
      <c r="N5" s="13">
        <v>2</v>
      </c>
    </row>
    <row r="6" spans="2:14" ht="14.25" customHeight="1"/>
    <row r="7" spans="2:14" ht="19.5" customHeight="1">
      <c r="B7" s="15" t="s">
        <v>47</v>
      </c>
      <c r="C7" s="15"/>
      <c r="D7" s="16" t="s">
        <v>49</v>
      </c>
      <c r="E7" s="16"/>
      <c r="F7" s="16"/>
      <c r="H7" s="2" t="s">
        <v>30</v>
      </c>
      <c r="I7" s="2" t="s">
        <v>31</v>
      </c>
      <c r="J7" s="2" t="s">
        <v>32</v>
      </c>
      <c r="K7" s="2" t="s">
        <v>33</v>
      </c>
    </row>
    <row r="8" spans="2:14" ht="19.5" customHeight="1">
      <c r="E8" s="10"/>
      <c r="F8" s="10"/>
      <c r="H8" s="9" t="s">
        <v>34</v>
      </c>
      <c r="I8" s="3">
        <f>개수</f>
        <v>999</v>
      </c>
      <c r="J8" s="4">
        <f ca="1">SUM(매입액)</f>
        <v>80851200</v>
      </c>
      <c r="K8" s="4">
        <f ca="1">SUM(매출액)</f>
        <v>98170770</v>
      </c>
    </row>
    <row r="9" spans="2:14" ht="19.5" customHeight="1">
      <c r="B9" s="15" t="s">
        <v>48</v>
      </c>
      <c r="C9" s="15"/>
      <c r="D9" s="17">
        <f ca="1">MAX(일자)</f>
        <v>41609</v>
      </c>
      <c r="E9" s="17"/>
      <c r="F9" s="17"/>
      <c r="H9" s="9" t="s">
        <v>46</v>
      </c>
      <c r="I9" s="3">
        <f ca="1">SUBTOTAL(3,일자)</f>
        <v>121</v>
      </c>
      <c r="J9" s="5">
        <f ca="1">SUBTOTAL(9,매입액)</f>
        <v>0</v>
      </c>
      <c r="K9" s="5">
        <f ca="1">SUBTOTAL(9,매출액)</f>
        <v>25879680</v>
      </c>
    </row>
    <row r="10" spans="2:14" ht="9" customHeight="1"/>
    <row r="11" spans="2:14">
      <c r="B11" s="14" t="s">
        <v>7</v>
      </c>
      <c r="C11" s="14" t="s">
        <v>8</v>
      </c>
      <c r="D11" s="14" t="s">
        <v>55</v>
      </c>
      <c r="E11" s="14" t="s">
        <v>2</v>
      </c>
      <c r="F11" s="14" t="s">
        <v>9</v>
      </c>
      <c r="G11" s="14" t="s">
        <v>10</v>
      </c>
      <c r="H11" s="14" t="s">
        <v>3</v>
      </c>
      <c r="I11" s="14" t="s">
        <v>4</v>
      </c>
      <c r="J11" s="14" t="s">
        <v>5</v>
      </c>
      <c r="K11" s="14" t="s">
        <v>6</v>
      </c>
    </row>
    <row r="12" spans="2:14" hidden="1">
      <c r="B12" s="7">
        <v>41275</v>
      </c>
      <c r="C12" s="3" t="s">
        <v>36</v>
      </c>
      <c r="D12" s="6" t="s">
        <v>26</v>
      </c>
      <c r="E12" s="3" t="s">
        <v>12</v>
      </c>
      <c r="F12" s="5">
        <v>5</v>
      </c>
      <c r="G12" s="5">
        <v>9710</v>
      </c>
      <c r="H12" s="8">
        <f>F12*G12</f>
        <v>48550</v>
      </c>
      <c r="I12" s="8">
        <f>TRUNC(H12*10%,-1)</f>
        <v>4850</v>
      </c>
      <c r="J12" s="8" t="str">
        <f>IF(E12="매입",H12+I12,"")</f>
        <v/>
      </c>
      <c r="K12" s="8">
        <f>IF(E12="매출",H12+I12,"")</f>
        <v>53400</v>
      </c>
    </row>
    <row r="13" spans="2:14" hidden="1">
      <c r="B13" s="7">
        <v>41275</v>
      </c>
      <c r="C13" s="3" t="s">
        <v>37</v>
      </c>
      <c r="D13" s="6" t="s">
        <v>16</v>
      </c>
      <c r="E13" s="3" t="s">
        <v>12</v>
      </c>
      <c r="F13" s="5">
        <v>8</v>
      </c>
      <c r="G13" s="5">
        <v>11900</v>
      </c>
      <c r="H13" s="8">
        <f t="shared" ref="H13:H76" si="0">F13*G13</f>
        <v>95200</v>
      </c>
      <c r="I13" s="8">
        <f t="shared" ref="I13:I76" si="1">TRUNC(H13*10%,-1)</f>
        <v>9520</v>
      </c>
      <c r="J13" s="8" t="str">
        <f t="shared" ref="J13:J76" si="2">IF(E13="매입",H13+I13,"")</f>
        <v/>
      </c>
      <c r="K13" s="8">
        <f t="shared" ref="K13:K76" si="3">IF(E13="매출",H13+I13,"")</f>
        <v>104720</v>
      </c>
    </row>
    <row r="14" spans="2:14" hidden="1">
      <c r="B14" s="7">
        <v>41275</v>
      </c>
      <c r="C14" s="3" t="s">
        <v>38</v>
      </c>
      <c r="D14" s="6" t="s">
        <v>27</v>
      </c>
      <c r="E14" s="3" t="s">
        <v>0</v>
      </c>
      <c r="F14" s="5">
        <v>13</v>
      </c>
      <c r="G14" s="5">
        <v>3650</v>
      </c>
      <c r="H14" s="8">
        <f t="shared" si="0"/>
        <v>47450</v>
      </c>
      <c r="I14" s="8">
        <f t="shared" si="1"/>
        <v>4740</v>
      </c>
      <c r="J14" s="8">
        <f t="shared" si="2"/>
        <v>52190</v>
      </c>
      <c r="K14" s="8" t="str">
        <f t="shared" si="3"/>
        <v/>
      </c>
    </row>
    <row r="15" spans="2:14" hidden="1">
      <c r="B15" s="7">
        <v>41275</v>
      </c>
      <c r="C15" s="3" t="s">
        <v>39</v>
      </c>
      <c r="D15" s="6" t="s">
        <v>18</v>
      </c>
      <c r="E15" s="3" t="s">
        <v>0</v>
      </c>
      <c r="F15" s="5">
        <v>6</v>
      </c>
      <c r="G15" s="5">
        <v>5300</v>
      </c>
      <c r="H15" s="8">
        <f t="shared" si="0"/>
        <v>31800</v>
      </c>
      <c r="I15" s="8">
        <f t="shared" si="1"/>
        <v>3180</v>
      </c>
      <c r="J15" s="8">
        <f t="shared" si="2"/>
        <v>34980</v>
      </c>
      <c r="K15" s="8" t="str">
        <f t="shared" si="3"/>
        <v/>
      </c>
    </row>
    <row r="16" spans="2:14" hidden="1">
      <c r="B16" s="7">
        <v>41276</v>
      </c>
      <c r="C16" s="3" t="s">
        <v>42</v>
      </c>
      <c r="D16" s="6" t="s">
        <v>27</v>
      </c>
      <c r="E16" s="3" t="s">
        <v>12</v>
      </c>
      <c r="F16" s="5">
        <v>21</v>
      </c>
      <c r="G16" s="5">
        <v>6190</v>
      </c>
      <c r="H16" s="8">
        <f t="shared" si="0"/>
        <v>129990</v>
      </c>
      <c r="I16" s="8">
        <f t="shared" si="1"/>
        <v>12990</v>
      </c>
      <c r="J16" s="8" t="str">
        <f t="shared" si="2"/>
        <v/>
      </c>
      <c r="K16" s="8">
        <f t="shared" si="3"/>
        <v>142980</v>
      </c>
    </row>
    <row r="17" spans="2:11" hidden="1">
      <c r="B17" s="7">
        <v>41276</v>
      </c>
      <c r="C17" s="3" t="s">
        <v>40</v>
      </c>
      <c r="D17" s="6" t="s">
        <v>11</v>
      </c>
      <c r="E17" s="3" t="s">
        <v>12</v>
      </c>
      <c r="F17" s="5">
        <v>8</v>
      </c>
      <c r="G17" s="5">
        <v>9830</v>
      </c>
      <c r="H17" s="8">
        <f t="shared" si="0"/>
        <v>78640</v>
      </c>
      <c r="I17" s="8">
        <f t="shared" si="1"/>
        <v>7860</v>
      </c>
      <c r="J17" s="8" t="str">
        <f t="shared" si="2"/>
        <v/>
      </c>
      <c r="K17" s="8">
        <f t="shared" si="3"/>
        <v>86500</v>
      </c>
    </row>
    <row r="18" spans="2:11" hidden="1">
      <c r="B18" s="7">
        <v>41276</v>
      </c>
      <c r="C18" s="3" t="s">
        <v>40</v>
      </c>
      <c r="D18" s="6" t="s">
        <v>14</v>
      </c>
      <c r="E18" s="3" t="s">
        <v>0</v>
      </c>
      <c r="F18" s="5">
        <v>39</v>
      </c>
      <c r="G18" s="5">
        <v>2320</v>
      </c>
      <c r="H18" s="8">
        <f t="shared" si="0"/>
        <v>90480</v>
      </c>
      <c r="I18" s="8">
        <f t="shared" si="1"/>
        <v>9040</v>
      </c>
      <c r="J18" s="8">
        <f t="shared" si="2"/>
        <v>99520</v>
      </c>
      <c r="K18" s="8" t="str">
        <f t="shared" si="3"/>
        <v/>
      </c>
    </row>
    <row r="19" spans="2:11" hidden="1">
      <c r="B19" s="7">
        <v>41276</v>
      </c>
      <c r="C19" s="3" t="s">
        <v>41</v>
      </c>
      <c r="D19" s="6" t="s">
        <v>27</v>
      </c>
      <c r="E19" s="3" t="s">
        <v>0</v>
      </c>
      <c r="F19" s="5">
        <v>10</v>
      </c>
      <c r="G19" s="5">
        <v>3310</v>
      </c>
      <c r="H19" s="8">
        <f t="shared" si="0"/>
        <v>33100</v>
      </c>
      <c r="I19" s="8">
        <f t="shared" si="1"/>
        <v>3310</v>
      </c>
      <c r="J19" s="8">
        <f t="shared" si="2"/>
        <v>36410</v>
      </c>
      <c r="K19" s="8" t="str">
        <f t="shared" si="3"/>
        <v/>
      </c>
    </row>
    <row r="20" spans="2:11" hidden="1">
      <c r="B20" s="7">
        <v>41276</v>
      </c>
      <c r="C20" s="3" t="s">
        <v>37</v>
      </c>
      <c r="D20" s="6" t="s">
        <v>16</v>
      </c>
      <c r="E20" s="3" t="s">
        <v>0</v>
      </c>
      <c r="F20" s="5">
        <v>50</v>
      </c>
      <c r="G20" s="5">
        <v>5960</v>
      </c>
      <c r="H20" s="8">
        <f t="shared" si="0"/>
        <v>298000</v>
      </c>
      <c r="I20" s="8">
        <f t="shared" si="1"/>
        <v>29800</v>
      </c>
      <c r="J20" s="8">
        <f t="shared" si="2"/>
        <v>327800</v>
      </c>
      <c r="K20" s="8" t="str">
        <f t="shared" si="3"/>
        <v/>
      </c>
    </row>
    <row r="21" spans="2:11" hidden="1">
      <c r="B21" s="7">
        <v>41277</v>
      </c>
      <c r="C21" s="3" t="s">
        <v>43</v>
      </c>
      <c r="D21" s="6" t="s">
        <v>26</v>
      </c>
      <c r="E21" s="3" t="s">
        <v>12</v>
      </c>
      <c r="F21" s="5">
        <v>15</v>
      </c>
      <c r="G21" s="5">
        <v>8330</v>
      </c>
      <c r="H21" s="8">
        <f t="shared" si="0"/>
        <v>124950</v>
      </c>
      <c r="I21" s="8">
        <f t="shared" si="1"/>
        <v>12490</v>
      </c>
      <c r="J21" s="8" t="str">
        <f t="shared" si="2"/>
        <v/>
      </c>
      <c r="K21" s="8">
        <f t="shared" si="3"/>
        <v>137440</v>
      </c>
    </row>
    <row r="22" spans="2:11" hidden="1">
      <c r="B22" s="7">
        <v>41277</v>
      </c>
      <c r="C22" s="3" t="s">
        <v>37</v>
      </c>
      <c r="D22" s="6" t="s">
        <v>27</v>
      </c>
      <c r="E22" s="3" t="s">
        <v>12</v>
      </c>
      <c r="F22" s="5">
        <v>12</v>
      </c>
      <c r="G22" s="5">
        <v>8580</v>
      </c>
      <c r="H22" s="8">
        <f t="shared" si="0"/>
        <v>102960</v>
      </c>
      <c r="I22" s="8">
        <f t="shared" si="1"/>
        <v>10290</v>
      </c>
      <c r="J22" s="8" t="str">
        <f t="shared" si="2"/>
        <v/>
      </c>
      <c r="K22" s="8">
        <f t="shared" si="3"/>
        <v>113250</v>
      </c>
    </row>
    <row r="23" spans="2:11" hidden="1">
      <c r="B23" s="7">
        <v>41277</v>
      </c>
      <c r="C23" s="3" t="s">
        <v>36</v>
      </c>
      <c r="D23" s="6" t="s">
        <v>13</v>
      </c>
      <c r="E23" s="3" t="s">
        <v>12</v>
      </c>
      <c r="F23" s="5">
        <v>10</v>
      </c>
      <c r="G23" s="5">
        <v>10800</v>
      </c>
      <c r="H23" s="8">
        <f t="shared" si="0"/>
        <v>108000</v>
      </c>
      <c r="I23" s="8">
        <f t="shared" si="1"/>
        <v>10800</v>
      </c>
      <c r="J23" s="8" t="str">
        <f t="shared" si="2"/>
        <v/>
      </c>
      <c r="K23" s="8">
        <f t="shared" si="3"/>
        <v>118800</v>
      </c>
    </row>
    <row r="24" spans="2:11" hidden="1">
      <c r="B24" s="7">
        <v>41277</v>
      </c>
      <c r="C24" s="3" t="s">
        <v>43</v>
      </c>
      <c r="D24" s="6" t="s">
        <v>13</v>
      </c>
      <c r="E24" s="3" t="s">
        <v>0</v>
      </c>
      <c r="F24" s="5">
        <v>45</v>
      </c>
      <c r="G24" s="5">
        <v>3330</v>
      </c>
      <c r="H24" s="8">
        <f t="shared" si="0"/>
        <v>149850</v>
      </c>
      <c r="I24" s="8">
        <f t="shared" si="1"/>
        <v>14980</v>
      </c>
      <c r="J24" s="8">
        <f t="shared" si="2"/>
        <v>164830</v>
      </c>
      <c r="K24" s="8" t="str">
        <f t="shared" si="3"/>
        <v/>
      </c>
    </row>
    <row r="25" spans="2:11" hidden="1">
      <c r="B25" s="7">
        <v>41277</v>
      </c>
      <c r="C25" s="3" t="s">
        <v>40</v>
      </c>
      <c r="D25" s="6" t="s">
        <v>24</v>
      </c>
      <c r="E25" s="3" t="s">
        <v>0</v>
      </c>
      <c r="F25" s="5">
        <v>31</v>
      </c>
      <c r="G25" s="5">
        <v>2060</v>
      </c>
      <c r="H25" s="8">
        <f t="shared" si="0"/>
        <v>63860</v>
      </c>
      <c r="I25" s="8">
        <f t="shared" si="1"/>
        <v>6380</v>
      </c>
      <c r="J25" s="8">
        <f t="shared" si="2"/>
        <v>70240</v>
      </c>
      <c r="K25" s="8" t="str">
        <f t="shared" si="3"/>
        <v/>
      </c>
    </row>
    <row r="26" spans="2:11" hidden="1">
      <c r="B26" s="7">
        <v>41277</v>
      </c>
      <c r="C26" s="3" t="s">
        <v>42</v>
      </c>
      <c r="D26" s="6" t="s">
        <v>17</v>
      </c>
      <c r="E26" s="3" t="s">
        <v>0</v>
      </c>
      <c r="F26" s="5">
        <v>48</v>
      </c>
      <c r="G26" s="5">
        <v>5960</v>
      </c>
      <c r="H26" s="8">
        <f t="shared" si="0"/>
        <v>286080</v>
      </c>
      <c r="I26" s="8">
        <f t="shared" si="1"/>
        <v>28600</v>
      </c>
      <c r="J26" s="8">
        <f t="shared" si="2"/>
        <v>314680</v>
      </c>
      <c r="K26" s="8" t="str">
        <f t="shared" si="3"/>
        <v/>
      </c>
    </row>
    <row r="27" spans="2:11" hidden="1">
      <c r="B27" s="7">
        <v>41278</v>
      </c>
      <c r="C27" s="3" t="s">
        <v>42</v>
      </c>
      <c r="D27" s="6" t="s">
        <v>27</v>
      </c>
      <c r="E27" s="3" t="s">
        <v>12</v>
      </c>
      <c r="F27" s="5">
        <v>21</v>
      </c>
      <c r="G27" s="5">
        <v>8830</v>
      </c>
      <c r="H27" s="8">
        <f t="shared" si="0"/>
        <v>185430</v>
      </c>
      <c r="I27" s="8">
        <f t="shared" si="1"/>
        <v>18540</v>
      </c>
      <c r="J27" s="8" t="str">
        <f t="shared" si="2"/>
        <v/>
      </c>
      <c r="K27" s="8">
        <f t="shared" si="3"/>
        <v>203970</v>
      </c>
    </row>
    <row r="28" spans="2:11" hidden="1">
      <c r="B28" s="7">
        <v>41278</v>
      </c>
      <c r="C28" s="3" t="s">
        <v>39</v>
      </c>
      <c r="D28" s="6" t="s">
        <v>21</v>
      </c>
      <c r="E28" s="3" t="s">
        <v>0</v>
      </c>
      <c r="F28" s="5">
        <v>38</v>
      </c>
      <c r="G28" s="5">
        <v>2930</v>
      </c>
      <c r="H28" s="8">
        <f t="shared" si="0"/>
        <v>111340</v>
      </c>
      <c r="I28" s="8">
        <f t="shared" si="1"/>
        <v>11130</v>
      </c>
      <c r="J28" s="8">
        <f t="shared" si="2"/>
        <v>122470</v>
      </c>
      <c r="K28" s="8" t="str">
        <f t="shared" si="3"/>
        <v/>
      </c>
    </row>
    <row r="29" spans="2:11" hidden="1">
      <c r="B29" s="7">
        <v>41279</v>
      </c>
      <c r="C29" s="3" t="s">
        <v>44</v>
      </c>
      <c r="D29" s="6" t="s">
        <v>11</v>
      </c>
      <c r="E29" s="3" t="s">
        <v>12</v>
      </c>
      <c r="F29" s="5">
        <v>8</v>
      </c>
      <c r="G29" s="5">
        <v>9960</v>
      </c>
      <c r="H29" s="8">
        <f t="shared" si="0"/>
        <v>79680</v>
      </c>
      <c r="I29" s="8">
        <f t="shared" si="1"/>
        <v>7960</v>
      </c>
      <c r="J29" s="8" t="str">
        <f t="shared" si="2"/>
        <v/>
      </c>
      <c r="K29" s="8">
        <f t="shared" si="3"/>
        <v>87640</v>
      </c>
    </row>
    <row r="30" spans="2:11" hidden="1">
      <c r="B30" s="7">
        <v>41280</v>
      </c>
      <c r="C30" s="3" t="s">
        <v>39</v>
      </c>
      <c r="D30" s="6" t="s">
        <v>11</v>
      </c>
      <c r="E30" s="3" t="s">
        <v>12</v>
      </c>
      <c r="F30" s="5">
        <v>10</v>
      </c>
      <c r="G30" s="5">
        <v>6190</v>
      </c>
      <c r="H30" s="8">
        <f t="shared" si="0"/>
        <v>61900</v>
      </c>
      <c r="I30" s="8">
        <f t="shared" si="1"/>
        <v>6190</v>
      </c>
      <c r="J30" s="8" t="str">
        <f t="shared" si="2"/>
        <v/>
      </c>
      <c r="K30" s="8">
        <f t="shared" si="3"/>
        <v>68090</v>
      </c>
    </row>
    <row r="31" spans="2:11" hidden="1">
      <c r="B31" s="7">
        <v>41280</v>
      </c>
      <c r="C31" s="3" t="s">
        <v>38</v>
      </c>
      <c r="D31" s="6" t="s">
        <v>24</v>
      </c>
      <c r="E31" s="3" t="s">
        <v>12</v>
      </c>
      <c r="F31" s="5">
        <v>19</v>
      </c>
      <c r="G31" s="5">
        <v>6700</v>
      </c>
      <c r="H31" s="8">
        <f t="shared" si="0"/>
        <v>127300</v>
      </c>
      <c r="I31" s="8">
        <f t="shared" si="1"/>
        <v>12730</v>
      </c>
      <c r="J31" s="8" t="str">
        <f t="shared" si="2"/>
        <v/>
      </c>
      <c r="K31" s="8">
        <f t="shared" si="3"/>
        <v>140030</v>
      </c>
    </row>
    <row r="32" spans="2:11" hidden="1">
      <c r="B32" s="7">
        <v>41280</v>
      </c>
      <c r="C32" s="3" t="s">
        <v>40</v>
      </c>
      <c r="D32" s="6" t="s">
        <v>28</v>
      </c>
      <c r="E32" s="3" t="s">
        <v>12</v>
      </c>
      <c r="F32" s="5">
        <v>9</v>
      </c>
      <c r="G32" s="5">
        <v>11750</v>
      </c>
      <c r="H32" s="8">
        <f t="shared" si="0"/>
        <v>105750</v>
      </c>
      <c r="I32" s="8">
        <f t="shared" si="1"/>
        <v>10570</v>
      </c>
      <c r="J32" s="8" t="str">
        <f t="shared" si="2"/>
        <v/>
      </c>
      <c r="K32" s="8">
        <f t="shared" si="3"/>
        <v>116320</v>
      </c>
    </row>
    <row r="33" spans="2:11" hidden="1">
      <c r="B33" s="7">
        <v>41280</v>
      </c>
      <c r="C33" s="3" t="s">
        <v>43</v>
      </c>
      <c r="D33" s="6" t="s">
        <v>14</v>
      </c>
      <c r="E33" s="3" t="s">
        <v>0</v>
      </c>
      <c r="F33" s="5">
        <v>41</v>
      </c>
      <c r="G33" s="5">
        <v>4070</v>
      </c>
      <c r="H33" s="8">
        <f t="shared" si="0"/>
        <v>166870</v>
      </c>
      <c r="I33" s="8">
        <f t="shared" si="1"/>
        <v>16680</v>
      </c>
      <c r="J33" s="8">
        <f t="shared" si="2"/>
        <v>183550</v>
      </c>
      <c r="K33" s="8" t="str">
        <f t="shared" si="3"/>
        <v/>
      </c>
    </row>
    <row r="34" spans="2:11" hidden="1">
      <c r="B34" s="7">
        <v>41280</v>
      </c>
      <c r="C34" s="3" t="s">
        <v>39</v>
      </c>
      <c r="D34" s="6" t="s">
        <v>27</v>
      </c>
      <c r="E34" s="3" t="s">
        <v>0</v>
      </c>
      <c r="F34" s="5">
        <v>33</v>
      </c>
      <c r="G34" s="5">
        <v>3940</v>
      </c>
      <c r="H34" s="8">
        <f t="shared" si="0"/>
        <v>130020</v>
      </c>
      <c r="I34" s="8">
        <f t="shared" si="1"/>
        <v>13000</v>
      </c>
      <c r="J34" s="8">
        <f t="shared" si="2"/>
        <v>143020</v>
      </c>
      <c r="K34" s="8" t="str">
        <f t="shared" si="3"/>
        <v/>
      </c>
    </row>
    <row r="35" spans="2:11" hidden="1">
      <c r="B35" s="7">
        <v>41282</v>
      </c>
      <c r="C35" s="3" t="s">
        <v>43</v>
      </c>
      <c r="D35" s="6" t="s">
        <v>11</v>
      </c>
      <c r="E35" s="3" t="s">
        <v>12</v>
      </c>
      <c r="F35" s="5">
        <v>27</v>
      </c>
      <c r="G35" s="5">
        <v>9330</v>
      </c>
      <c r="H35" s="8">
        <f t="shared" si="0"/>
        <v>251910</v>
      </c>
      <c r="I35" s="8">
        <f t="shared" si="1"/>
        <v>25190</v>
      </c>
      <c r="J35" s="8" t="str">
        <f t="shared" si="2"/>
        <v/>
      </c>
      <c r="K35" s="8">
        <f t="shared" si="3"/>
        <v>277100</v>
      </c>
    </row>
    <row r="36" spans="2:11" hidden="1">
      <c r="B36" s="7">
        <v>41282</v>
      </c>
      <c r="C36" s="3" t="s">
        <v>45</v>
      </c>
      <c r="D36" s="6" t="s">
        <v>13</v>
      </c>
      <c r="E36" s="3" t="s">
        <v>0</v>
      </c>
      <c r="F36" s="5">
        <v>41</v>
      </c>
      <c r="G36" s="5">
        <v>3430</v>
      </c>
      <c r="H36" s="8">
        <f t="shared" si="0"/>
        <v>140630</v>
      </c>
      <c r="I36" s="8">
        <f t="shared" si="1"/>
        <v>14060</v>
      </c>
      <c r="J36" s="8">
        <f t="shared" si="2"/>
        <v>154690</v>
      </c>
      <c r="K36" s="8" t="str">
        <f t="shared" si="3"/>
        <v/>
      </c>
    </row>
    <row r="37" spans="2:11" hidden="1">
      <c r="B37" s="7">
        <v>41282</v>
      </c>
      <c r="C37" s="3" t="s">
        <v>43</v>
      </c>
      <c r="D37" s="6" t="s">
        <v>25</v>
      </c>
      <c r="E37" s="3" t="s">
        <v>0</v>
      </c>
      <c r="F37" s="5">
        <v>12</v>
      </c>
      <c r="G37" s="5">
        <v>5810</v>
      </c>
      <c r="H37" s="8">
        <f t="shared" si="0"/>
        <v>69720</v>
      </c>
      <c r="I37" s="8">
        <f t="shared" si="1"/>
        <v>6970</v>
      </c>
      <c r="J37" s="8">
        <f t="shared" si="2"/>
        <v>76690</v>
      </c>
      <c r="K37" s="8" t="str">
        <f t="shared" si="3"/>
        <v/>
      </c>
    </row>
    <row r="38" spans="2:11" hidden="1">
      <c r="B38" s="7">
        <v>41283</v>
      </c>
      <c r="C38" s="3" t="s">
        <v>43</v>
      </c>
      <c r="D38" s="6" t="s">
        <v>19</v>
      </c>
      <c r="E38" s="3" t="s">
        <v>12</v>
      </c>
      <c r="F38" s="5">
        <v>27</v>
      </c>
      <c r="G38" s="5">
        <v>7700</v>
      </c>
      <c r="H38" s="8">
        <f t="shared" si="0"/>
        <v>207900</v>
      </c>
      <c r="I38" s="8">
        <f t="shared" si="1"/>
        <v>20790</v>
      </c>
      <c r="J38" s="8" t="str">
        <f t="shared" si="2"/>
        <v/>
      </c>
      <c r="K38" s="8">
        <f t="shared" si="3"/>
        <v>228690</v>
      </c>
    </row>
    <row r="39" spans="2:11" hidden="1">
      <c r="B39" s="7">
        <v>41283</v>
      </c>
      <c r="C39" s="3" t="s">
        <v>43</v>
      </c>
      <c r="D39" s="6" t="s">
        <v>23</v>
      </c>
      <c r="E39" s="3" t="s">
        <v>1</v>
      </c>
      <c r="F39" s="5">
        <v>43</v>
      </c>
      <c r="G39" s="5">
        <v>9580</v>
      </c>
      <c r="H39" s="8">
        <f t="shared" si="0"/>
        <v>411940</v>
      </c>
      <c r="I39" s="8">
        <f t="shared" si="1"/>
        <v>41190</v>
      </c>
      <c r="J39" s="8">
        <f t="shared" si="2"/>
        <v>453130</v>
      </c>
      <c r="K39" s="8" t="str">
        <f t="shared" si="3"/>
        <v/>
      </c>
    </row>
    <row r="40" spans="2:11" hidden="1">
      <c r="B40" s="7">
        <v>41283</v>
      </c>
      <c r="C40" s="3" t="s">
        <v>39</v>
      </c>
      <c r="D40" s="6" t="s">
        <v>29</v>
      </c>
      <c r="E40" s="3" t="s">
        <v>0</v>
      </c>
      <c r="F40" s="5">
        <v>49</v>
      </c>
      <c r="G40" s="5">
        <v>1810</v>
      </c>
      <c r="H40" s="8">
        <f t="shared" si="0"/>
        <v>88690</v>
      </c>
      <c r="I40" s="8">
        <f t="shared" si="1"/>
        <v>8860</v>
      </c>
      <c r="J40" s="8">
        <f t="shared" si="2"/>
        <v>97550</v>
      </c>
      <c r="K40" s="8" t="str">
        <f t="shared" si="3"/>
        <v/>
      </c>
    </row>
    <row r="41" spans="2:11" hidden="1">
      <c r="B41" s="7">
        <v>41283</v>
      </c>
      <c r="C41" s="3" t="s">
        <v>38</v>
      </c>
      <c r="D41" s="6" t="s">
        <v>15</v>
      </c>
      <c r="E41" s="3" t="s">
        <v>0</v>
      </c>
      <c r="F41" s="5">
        <v>16</v>
      </c>
      <c r="G41" s="5">
        <v>2810</v>
      </c>
      <c r="H41" s="8">
        <f t="shared" si="0"/>
        <v>44960</v>
      </c>
      <c r="I41" s="8">
        <f t="shared" si="1"/>
        <v>4490</v>
      </c>
      <c r="J41" s="8">
        <f t="shared" si="2"/>
        <v>49450</v>
      </c>
      <c r="K41" s="8" t="str">
        <f t="shared" si="3"/>
        <v/>
      </c>
    </row>
    <row r="42" spans="2:11" hidden="1">
      <c r="B42" s="7">
        <v>41283</v>
      </c>
      <c r="C42" s="3" t="s">
        <v>40</v>
      </c>
      <c r="D42" s="6" t="s">
        <v>21</v>
      </c>
      <c r="E42" s="3" t="s">
        <v>0</v>
      </c>
      <c r="F42" s="5">
        <v>5</v>
      </c>
      <c r="G42" s="5">
        <v>3690</v>
      </c>
      <c r="H42" s="8">
        <f t="shared" si="0"/>
        <v>18450</v>
      </c>
      <c r="I42" s="8">
        <f t="shared" si="1"/>
        <v>1840</v>
      </c>
      <c r="J42" s="8">
        <f t="shared" si="2"/>
        <v>20290</v>
      </c>
      <c r="K42" s="8" t="str">
        <f t="shared" si="3"/>
        <v/>
      </c>
    </row>
    <row r="43" spans="2:11" hidden="1">
      <c r="B43" s="7">
        <v>41283</v>
      </c>
      <c r="C43" s="3" t="s">
        <v>38</v>
      </c>
      <c r="D43" s="6" t="s">
        <v>17</v>
      </c>
      <c r="E43" s="3" t="s">
        <v>0</v>
      </c>
      <c r="F43" s="5">
        <v>43</v>
      </c>
      <c r="G43" s="5">
        <v>9470</v>
      </c>
      <c r="H43" s="8">
        <f t="shared" si="0"/>
        <v>407210</v>
      </c>
      <c r="I43" s="8">
        <f t="shared" si="1"/>
        <v>40720</v>
      </c>
      <c r="J43" s="8">
        <f t="shared" si="2"/>
        <v>447930</v>
      </c>
      <c r="K43" s="8" t="str">
        <f t="shared" si="3"/>
        <v/>
      </c>
    </row>
    <row r="44" spans="2:11" hidden="1">
      <c r="B44" s="7">
        <v>41284</v>
      </c>
      <c r="C44" s="3" t="s">
        <v>38</v>
      </c>
      <c r="D44" s="6" t="s">
        <v>11</v>
      </c>
      <c r="E44" s="3" t="s">
        <v>12</v>
      </c>
      <c r="F44" s="5">
        <v>20</v>
      </c>
      <c r="G44" s="5">
        <v>6820</v>
      </c>
      <c r="H44" s="8">
        <f t="shared" si="0"/>
        <v>136400</v>
      </c>
      <c r="I44" s="8">
        <f t="shared" si="1"/>
        <v>13640</v>
      </c>
      <c r="J44" s="8" t="str">
        <f t="shared" si="2"/>
        <v/>
      </c>
      <c r="K44" s="8">
        <f t="shared" si="3"/>
        <v>150040</v>
      </c>
    </row>
    <row r="45" spans="2:11" hidden="1">
      <c r="B45" s="7">
        <v>41284</v>
      </c>
      <c r="C45" s="3" t="s">
        <v>41</v>
      </c>
      <c r="D45" s="6" t="s">
        <v>13</v>
      </c>
      <c r="E45" s="3" t="s">
        <v>12</v>
      </c>
      <c r="F45" s="5">
        <v>21</v>
      </c>
      <c r="G45" s="5">
        <v>8390</v>
      </c>
      <c r="H45" s="8">
        <f t="shared" si="0"/>
        <v>176190</v>
      </c>
      <c r="I45" s="8">
        <f t="shared" si="1"/>
        <v>17610</v>
      </c>
      <c r="J45" s="8" t="str">
        <f t="shared" si="2"/>
        <v/>
      </c>
      <c r="K45" s="8">
        <f t="shared" si="3"/>
        <v>193800</v>
      </c>
    </row>
    <row r="46" spans="2:11" hidden="1">
      <c r="B46" s="7">
        <v>41284</v>
      </c>
      <c r="C46" s="3" t="s">
        <v>38</v>
      </c>
      <c r="D46" s="6" t="s">
        <v>15</v>
      </c>
      <c r="E46" s="3" t="s">
        <v>12</v>
      </c>
      <c r="F46" s="5">
        <v>15</v>
      </c>
      <c r="G46" s="5">
        <v>9200</v>
      </c>
      <c r="H46" s="8">
        <f t="shared" si="0"/>
        <v>138000</v>
      </c>
      <c r="I46" s="8">
        <f t="shared" si="1"/>
        <v>13800</v>
      </c>
      <c r="J46" s="8" t="str">
        <f t="shared" si="2"/>
        <v/>
      </c>
      <c r="K46" s="8">
        <f t="shared" si="3"/>
        <v>151800</v>
      </c>
    </row>
    <row r="47" spans="2:11" hidden="1">
      <c r="B47" s="7">
        <v>41284</v>
      </c>
      <c r="C47" s="3" t="s">
        <v>36</v>
      </c>
      <c r="D47" s="6" t="s">
        <v>16</v>
      </c>
      <c r="E47" s="3" t="s">
        <v>12</v>
      </c>
      <c r="F47" s="5">
        <v>9</v>
      </c>
      <c r="G47" s="5">
        <v>12490</v>
      </c>
      <c r="H47" s="8">
        <f t="shared" si="0"/>
        <v>112410</v>
      </c>
      <c r="I47" s="8">
        <f t="shared" si="1"/>
        <v>11240</v>
      </c>
      <c r="J47" s="8" t="str">
        <f t="shared" si="2"/>
        <v/>
      </c>
      <c r="K47" s="8">
        <f t="shared" si="3"/>
        <v>123650</v>
      </c>
    </row>
    <row r="48" spans="2:11" hidden="1">
      <c r="B48" s="7">
        <v>41284</v>
      </c>
      <c r="C48" s="3" t="s">
        <v>43</v>
      </c>
      <c r="D48" s="6" t="s">
        <v>21</v>
      </c>
      <c r="E48" s="3" t="s">
        <v>0</v>
      </c>
      <c r="F48" s="5">
        <v>14</v>
      </c>
      <c r="G48" s="5">
        <v>1930</v>
      </c>
      <c r="H48" s="8">
        <f t="shared" si="0"/>
        <v>27020</v>
      </c>
      <c r="I48" s="8">
        <f t="shared" si="1"/>
        <v>2700</v>
      </c>
      <c r="J48" s="8">
        <f t="shared" si="2"/>
        <v>29720</v>
      </c>
      <c r="K48" s="8" t="str">
        <f t="shared" si="3"/>
        <v/>
      </c>
    </row>
    <row r="49" spans="2:11" hidden="1">
      <c r="B49" s="7">
        <v>41285</v>
      </c>
      <c r="C49" s="3" t="s">
        <v>38</v>
      </c>
      <c r="D49" s="6" t="s">
        <v>23</v>
      </c>
      <c r="E49" s="3" t="s">
        <v>12</v>
      </c>
      <c r="F49" s="5">
        <v>17</v>
      </c>
      <c r="G49" s="5">
        <v>9200</v>
      </c>
      <c r="H49" s="8">
        <f t="shared" si="0"/>
        <v>156400</v>
      </c>
      <c r="I49" s="8">
        <f t="shared" si="1"/>
        <v>15640</v>
      </c>
      <c r="J49" s="8" t="str">
        <f t="shared" si="2"/>
        <v/>
      </c>
      <c r="K49" s="8">
        <f t="shared" si="3"/>
        <v>172040</v>
      </c>
    </row>
    <row r="50" spans="2:11" hidden="1">
      <c r="B50" s="7">
        <v>41285</v>
      </c>
      <c r="C50" s="3" t="s">
        <v>38</v>
      </c>
      <c r="D50" s="6" t="s">
        <v>17</v>
      </c>
      <c r="E50" s="3" t="s">
        <v>12</v>
      </c>
      <c r="F50" s="5">
        <v>5</v>
      </c>
      <c r="G50" s="5">
        <v>20010</v>
      </c>
      <c r="H50" s="8">
        <f t="shared" si="0"/>
        <v>100050</v>
      </c>
      <c r="I50" s="8">
        <f t="shared" si="1"/>
        <v>10000</v>
      </c>
      <c r="J50" s="8" t="str">
        <f t="shared" si="2"/>
        <v/>
      </c>
      <c r="K50" s="8">
        <f t="shared" si="3"/>
        <v>110050</v>
      </c>
    </row>
    <row r="51" spans="2:11" hidden="1">
      <c r="B51" s="7">
        <v>41285</v>
      </c>
      <c r="C51" s="3" t="s">
        <v>44</v>
      </c>
      <c r="D51" s="6" t="s">
        <v>27</v>
      </c>
      <c r="E51" s="3" t="s">
        <v>0</v>
      </c>
      <c r="F51" s="5">
        <v>18</v>
      </c>
      <c r="G51" s="5">
        <v>4020</v>
      </c>
      <c r="H51" s="8">
        <f t="shared" si="0"/>
        <v>72360</v>
      </c>
      <c r="I51" s="8">
        <f t="shared" si="1"/>
        <v>7230</v>
      </c>
      <c r="J51" s="8">
        <f t="shared" si="2"/>
        <v>79590</v>
      </c>
      <c r="K51" s="8" t="str">
        <f t="shared" si="3"/>
        <v/>
      </c>
    </row>
    <row r="52" spans="2:11" hidden="1">
      <c r="B52" s="7">
        <v>41285</v>
      </c>
      <c r="C52" s="3" t="s">
        <v>36</v>
      </c>
      <c r="D52" s="6" t="s">
        <v>11</v>
      </c>
      <c r="E52" s="3" t="s">
        <v>0</v>
      </c>
      <c r="F52" s="5">
        <v>32</v>
      </c>
      <c r="G52" s="5">
        <v>2680</v>
      </c>
      <c r="H52" s="8">
        <f t="shared" si="0"/>
        <v>85760</v>
      </c>
      <c r="I52" s="8">
        <f t="shared" si="1"/>
        <v>8570</v>
      </c>
      <c r="J52" s="8">
        <f t="shared" si="2"/>
        <v>94330</v>
      </c>
      <c r="K52" s="8" t="str">
        <f t="shared" si="3"/>
        <v/>
      </c>
    </row>
    <row r="53" spans="2:11" hidden="1">
      <c r="B53" s="7">
        <v>41286</v>
      </c>
      <c r="C53" s="3" t="s">
        <v>45</v>
      </c>
      <c r="D53" s="6" t="s">
        <v>25</v>
      </c>
      <c r="E53" s="3" t="s">
        <v>12</v>
      </c>
      <c r="F53" s="5">
        <v>5</v>
      </c>
      <c r="G53" s="5">
        <v>11600</v>
      </c>
      <c r="H53" s="8">
        <f t="shared" si="0"/>
        <v>58000</v>
      </c>
      <c r="I53" s="8">
        <f t="shared" si="1"/>
        <v>5800</v>
      </c>
      <c r="J53" s="8" t="str">
        <f t="shared" si="2"/>
        <v/>
      </c>
      <c r="K53" s="8">
        <f t="shared" si="3"/>
        <v>63800</v>
      </c>
    </row>
    <row r="54" spans="2:11" hidden="1">
      <c r="B54" s="7">
        <v>41286</v>
      </c>
      <c r="C54" s="3" t="s">
        <v>44</v>
      </c>
      <c r="D54" s="6" t="s">
        <v>19</v>
      </c>
      <c r="E54" s="3" t="s">
        <v>0</v>
      </c>
      <c r="F54" s="5">
        <v>25</v>
      </c>
      <c r="G54" s="5">
        <v>3690</v>
      </c>
      <c r="H54" s="8">
        <f t="shared" si="0"/>
        <v>92250</v>
      </c>
      <c r="I54" s="8">
        <f t="shared" si="1"/>
        <v>9220</v>
      </c>
      <c r="J54" s="8">
        <f t="shared" si="2"/>
        <v>101470</v>
      </c>
      <c r="K54" s="8" t="str">
        <f t="shared" si="3"/>
        <v/>
      </c>
    </row>
    <row r="55" spans="2:11" hidden="1">
      <c r="B55" s="7">
        <v>41287</v>
      </c>
      <c r="C55" s="3" t="s">
        <v>38</v>
      </c>
      <c r="D55" s="6" t="s">
        <v>20</v>
      </c>
      <c r="E55" s="3" t="s">
        <v>12</v>
      </c>
      <c r="F55" s="5">
        <v>5</v>
      </c>
      <c r="G55" s="5">
        <v>9990</v>
      </c>
      <c r="H55" s="8">
        <f t="shared" si="0"/>
        <v>49950</v>
      </c>
      <c r="I55" s="8">
        <f t="shared" si="1"/>
        <v>4990</v>
      </c>
      <c r="J55" s="8" t="str">
        <f t="shared" si="2"/>
        <v/>
      </c>
      <c r="K55" s="8">
        <f t="shared" si="3"/>
        <v>54940</v>
      </c>
    </row>
    <row r="56" spans="2:11" hidden="1">
      <c r="B56" s="7">
        <v>41287</v>
      </c>
      <c r="C56" s="3" t="s">
        <v>43</v>
      </c>
      <c r="D56" s="6" t="s">
        <v>11</v>
      </c>
      <c r="E56" s="3" t="s">
        <v>0</v>
      </c>
      <c r="F56" s="5">
        <v>14</v>
      </c>
      <c r="G56" s="5">
        <v>3810</v>
      </c>
      <c r="H56" s="8">
        <f t="shared" si="0"/>
        <v>53340</v>
      </c>
      <c r="I56" s="8">
        <f t="shared" si="1"/>
        <v>5330</v>
      </c>
      <c r="J56" s="8">
        <f t="shared" si="2"/>
        <v>58670</v>
      </c>
      <c r="K56" s="8" t="str">
        <f t="shared" si="3"/>
        <v/>
      </c>
    </row>
    <row r="57" spans="2:11" hidden="1">
      <c r="B57" s="7">
        <v>41288</v>
      </c>
      <c r="C57" s="3" t="s">
        <v>36</v>
      </c>
      <c r="D57" s="6" t="s">
        <v>22</v>
      </c>
      <c r="E57" s="3" t="s">
        <v>12</v>
      </c>
      <c r="F57" s="5">
        <v>12</v>
      </c>
      <c r="G57" s="5">
        <v>8580</v>
      </c>
      <c r="H57" s="8">
        <f t="shared" si="0"/>
        <v>102960</v>
      </c>
      <c r="I57" s="8">
        <f t="shared" si="1"/>
        <v>10290</v>
      </c>
      <c r="J57" s="8" t="str">
        <f t="shared" si="2"/>
        <v/>
      </c>
      <c r="K57" s="8">
        <f t="shared" si="3"/>
        <v>113250</v>
      </c>
    </row>
    <row r="58" spans="2:11" hidden="1">
      <c r="B58" s="7">
        <v>41288</v>
      </c>
      <c r="C58" s="3" t="s">
        <v>36</v>
      </c>
      <c r="D58" s="6" t="s">
        <v>28</v>
      </c>
      <c r="E58" s="3" t="s">
        <v>0</v>
      </c>
      <c r="F58" s="5">
        <v>15</v>
      </c>
      <c r="G58" s="5">
        <v>2690</v>
      </c>
      <c r="H58" s="8">
        <f t="shared" si="0"/>
        <v>40350</v>
      </c>
      <c r="I58" s="8">
        <f t="shared" si="1"/>
        <v>4030</v>
      </c>
      <c r="J58" s="8">
        <f t="shared" si="2"/>
        <v>44380</v>
      </c>
      <c r="K58" s="8" t="str">
        <f t="shared" si="3"/>
        <v/>
      </c>
    </row>
    <row r="59" spans="2:11" hidden="1">
      <c r="B59" s="7">
        <v>41288</v>
      </c>
      <c r="C59" s="3" t="s">
        <v>36</v>
      </c>
      <c r="D59" s="6" t="s">
        <v>29</v>
      </c>
      <c r="E59" s="3" t="s">
        <v>0</v>
      </c>
      <c r="F59" s="5">
        <v>40</v>
      </c>
      <c r="G59" s="5">
        <v>4440</v>
      </c>
      <c r="H59" s="8">
        <f t="shared" si="0"/>
        <v>177600</v>
      </c>
      <c r="I59" s="8">
        <f t="shared" si="1"/>
        <v>17760</v>
      </c>
      <c r="J59" s="8">
        <f t="shared" si="2"/>
        <v>195360</v>
      </c>
      <c r="K59" s="8" t="str">
        <f t="shared" si="3"/>
        <v/>
      </c>
    </row>
    <row r="60" spans="2:11" hidden="1">
      <c r="B60" s="7">
        <v>41288</v>
      </c>
      <c r="C60" s="3" t="s">
        <v>40</v>
      </c>
      <c r="D60" s="6" t="s">
        <v>28</v>
      </c>
      <c r="E60" s="3" t="s">
        <v>0</v>
      </c>
      <c r="F60" s="5">
        <v>50</v>
      </c>
      <c r="G60" s="5">
        <v>7150</v>
      </c>
      <c r="H60" s="8">
        <f t="shared" si="0"/>
        <v>357500</v>
      </c>
      <c r="I60" s="8">
        <f t="shared" si="1"/>
        <v>35750</v>
      </c>
      <c r="J60" s="8">
        <f t="shared" si="2"/>
        <v>393250</v>
      </c>
      <c r="K60" s="8" t="str">
        <f t="shared" si="3"/>
        <v/>
      </c>
    </row>
    <row r="61" spans="2:11" hidden="1">
      <c r="B61" s="7">
        <v>41289</v>
      </c>
      <c r="C61" s="3" t="s">
        <v>44</v>
      </c>
      <c r="D61" s="6" t="s">
        <v>20</v>
      </c>
      <c r="E61" s="3" t="s">
        <v>12</v>
      </c>
      <c r="F61" s="5">
        <v>10</v>
      </c>
      <c r="G61" s="5">
        <v>8920</v>
      </c>
      <c r="H61" s="8">
        <f t="shared" si="0"/>
        <v>89200</v>
      </c>
      <c r="I61" s="8">
        <f t="shared" si="1"/>
        <v>8920</v>
      </c>
      <c r="J61" s="8" t="str">
        <f t="shared" si="2"/>
        <v/>
      </c>
      <c r="K61" s="8">
        <f t="shared" si="3"/>
        <v>98120</v>
      </c>
    </row>
    <row r="62" spans="2:11" hidden="1">
      <c r="B62" s="7">
        <v>41289</v>
      </c>
      <c r="C62" s="3" t="s">
        <v>43</v>
      </c>
      <c r="D62" s="6" t="s">
        <v>27</v>
      </c>
      <c r="E62" s="3" t="s">
        <v>12</v>
      </c>
      <c r="F62" s="5">
        <v>21</v>
      </c>
      <c r="G62" s="5">
        <v>9460</v>
      </c>
      <c r="H62" s="8">
        <f t="shared" si="0"/>
        <v>198660</v>
      </c>
      <c r="I62" s="8">
        <f t="shared" si="1"/>
        <v>19860</v>
      </c>
      <c r="J62" s="8" t="str">
        <f t="shared" si="2"/>
        <v/>
      </c>
      <c r="K62" s="8">
        <f t="shared" si="3"/>
        <v>218520</v>
      </c>
    </row>
    <row r="63" spans="2:11" hidden="1">
      <c r="B63" s="7">
        <v>41289</v>
      </c>
      <c r="C63" s="3" t="s">
        <v>41</v>
      </c>
      <c r="D63" s="6" t="s">
        <v>19</v>
      </c>
      <c r="E63" s="3" t="s">
        <v>0</v>
      </c>
      <c r="F63" s="5">
        <v>28</v>
      </c>
      <c r="G63" s="5">
        <v>3020</v>
      </c>
      <c r="H63" s="8">
        <f t="shared" si="0"/>
        <v>84560</v>
      </c>
      <c r="I63" s="8">
        <f t="shared" si="1"/>
        <v>8450</v>
      </c>
      <c r="J63" s="8">
        <f t="shared" si="2"/>
        <v>93010</v>
      </c>
      <c r="K63" s="8" t="str">
        <f t="shared" si="3"/>
        <v/>
      </c>
    </row>
    <row r="64" spans="2:11" hidden="1">
      <c r="B64" s="7">
        <v>41289</v>
      </c>
      <c r="C64" s="3" t="s">
        <v>42</v>
      </c>
      <c r="D64" s="6" t="s">
        <v>14</v>
      </c>
      <c r="E64" s="3" t="s">
        <v>0</v>
      </c>
      <c r="F64" s="5">
        <v>6</v>
      </c>
      <c r="G64" s="5">
        <v>1540</v>
      </c>
      <c r="H64" s="8">
        <f t="shared" si="0"/>
        <v>9240</v>
      </c>
      <c r="I64" s="8">
        <f t="shared" si="1"/>
        <v>920</v>
      </c>
      <c r="J64" s="8">
        <f t="shared" si="2"/>
        <v>10160</v>
      </c>
      <c r="K64" s="8" t="str">
        <f t="shared" si="3"/>
        <v/>
      </c>
    </row>
    <row r="65" spans="2:11" hidden="1">
      <c r="B65" s="7">
        <v>41289</v>
      </c>
      <c r="C65" s="3" t="s">
        <v>45</v>
      </c>
      <c r="D65" s="6" t="s">
        <v>11</v>
      </c>
      <c r="E65" s="3" t="s">
        <v>0</v>
      </c>
      <c r="F65" s="5">
        <v>17</v>
      </c>
      <c r="G65" s="5">
        <v>2310</v>
      </c>
      <c r="H65" s="8">
        <f t="shared" si="0"/>
        <v>39270</v>
      </c>
      <c r="I65" s="8">
        <f t="shared" si="1"/>
        <v>3920</v>
      </c>
      <c r="J65" s="8">
        <f t="shared" si="2"/>
        <v>43190</v>
      </c>
      <c r="K65" s="8" t="str">
        <f t="shared" si="3"/>
        <v/>
      </c>
    </row>
    <row r="66" spans="2:11" hidden="1">
      <c r="B66" s="7">
        <v>41289</v>
      </c>
      <c r="C66" s="3" t="s">
        <v>37</v>
      </c>
      <c r="D66" s="6" t="s">
        <v>21</v>
      </c>
      <c r="E66" s="3" t="s">
        <v>0</v>
      </c>
      <c r="F66" s="5">
        <v>14</v>
      </c>
      <c r="G66" s="5">
        <v>2930</v>
      </c>
      <c r="H66" s="8">
        <f t="shared" si="0"/>
        <v>41020</v>
      </c>
      <c r="I66" s="8">
        <f t="shared" si="1"/>
        <v>4100</v>
      </c>
      <c r="J66" s="8">
        <f t="shared" si="2"/>
        <v>45120</v>
      </c>
      <c r="K66" s="8" t="str">
        <f t="shared" si="3"/>
        <v/>
      </c>
    </row>
    <row r="67" spans="2:11" hidden="1">
      <c r="B67" s="7">
        <v>41289</v>
      </c>
      <c r="C67" s="3" t="s">
        <v>45</v>
      </c>
      <c r="D67" s="6" t="s">
        <v>23</v>
      </c>
      <c r="E67" s="3" t="s">
        <v>0</v>
      </c>
      <c r="F67" s="5">
        <v>9</v>
      </c>
      <c r="G67" s="5">
        <v>3310</v>
      </c>
      <c r="H67" s="8">
        <f t="shared" si="0"/>
        <v>29790</v>
      </c>
      <c r="I67" s="8">
        <f t="shared" si="1"/>
        <v>2970</v>
      </c>
      <c r="J67" s="8">
        <f t="shared" si="2"/>
        <v>32760</v>
      </c>
      <c r="K67" s="8" t="str">
        <f t="shared" si="3"/>
        <v/>
      </c>
    </row>
    <row r="68" spans="2:11" hidden="1">
      <c r="B68" s="7">
        <v>41290</v>
      </c>
      <c r="C68" s="3" t="s">
        <v>39</v>
      </c>
      <c r="D68" s="6" t="s">
        <v>19</v>
      </c>
      <c r="E68" s="3" t="s">
        <v>12</v>
      </c>
      <c r="F68" s="5">
        <v>12</v>
      </c>
      <c r="G68" s="5">
        <v>7570</v>
      </c>
      <c r="H68" s="8">
        <f t="shared" si="0"/>
        <v>90840</v>
      </c>
      <c r="I68" s="8">
        <f t="shared" si="1"/>
        <v>9080</v>
      </c>
      <c r="J68" s="8" t="str">
        <f t="shared" si="2"/>
        <v/>
      </c>
      <c r="K68" s="8">
        <f t="shared" si="3"/>
        <v>99920</v>
      </c>
    </row>
    <row r="69" spans="2:11" hidden="1">
      <c r="B69" s="7">
        <v>41290</v>
      </c>
      <c r="C69" s="3" t="s">
        <v>40</v>
      </c>
      <c r="D69" s="6" t="s">
        <v>24</v>
      </c>
      <c r="E69" s="3" t="s">
        <v>12</v>
      </c>
      <c r="F69" s="5">
        <v>15</v>
      </c>
      <c r="G69" s="5">
        <v>9080</v>
      </c>
      <c r="H69" s="8">
        <f t="shared" si="0"/>
        <v>136200</v>
      </c>
      <c r="I69" s="8">
        <f t="shared" si="1"/>
        <v>13620</v>
      </c>
      <c r="J69" s="8" t="str">
        <f t="shared" si="2"/>
        <v/>
      </c>
      <c r="K69" s="8">
        <f t="shared" si="3"/>
        <v>149820</v>
      </c>
    </row>
    <row r="70" spans="2:11" hidden="1">
      <c r="B70" s="7">
        <v>41290</v>
      </c>
      <c r="C70" s="3" t="s">
        <v>44</v>
      </c>
      <c r="D70" s="6" t="s">
        <v>24</v>
      </c>
      <c r="E70" s="3" t="s">
        <v>0</v>
      </c>
      <c r="F70" s="5">
        <v>15</v>
      </c>
      <c r="G70" s="5">
        <v>4060</v>
      </c>
      <c r="H70" s="8">
        <f t="shared" si="0"/>
        <v>60900</v>
      </c>
      <c r="I70" s="8">
        <f t="shared" si="1"/>
        <v>6090</v>
      </c>
      <c r="J70" s="8">
        <f t="shared" si="2"/>
        <v>66990</v>
      </c>
      <c r="K70" s="8" t="str">
        <f t="shared" si="3"/>
        <v/>
      </c>
    </row>
    <row r="71" spans="2:11" hidden="1">
      <c r="B71" s="7">
        <v>41291</v>
      </c>
      <c r="C71" s="3" t="s">
        <v>37</v>
      </c>
      <c r="D71" s="6" t="s">
        <v>13</v>
      </c>
      <c r="E71" s="3" t="s">
        <v>12</v>
      </c>
      <c r="F71" s="5">
        <v>12</v>
      </c>
      <c r="G71" s="5">
        <v>7180</v>
      </c>
      <c r="H71" s="8">
        <f t="shared" si="0"/>
        <v>86160</v>
      </c>
      <c r="I71" s="8">
        <f t="shared" si="1"/>
        <v>8610</v>
      </c>
      <c r="J71" s="8" t="str">
        <f t="shared" si="2"/>
        <v/>
      </c>
      <c r="K71" s="8">
        <f t="shared" si="3"/>
        <v>94770</v>
      </c>
    </row>
    <row r="72" spans="2:11" hidden="1">
      <c r="B72" s="7">
        <v>41291</v>
      </c>
      <c r="C72" s="3" t="s">
        <v>43</v>
      </c>
      <c r="D72" s="6" t="s">
        <v>29</v>
      </c>
      <c r="E72" s="3" t="s">
        <v>12</v>
      </c>
      <c r="F72" s="5">
        <v>8</v>
      </c>
      <c r="G72" s="5">
        <v>7570</v>
      </c>
      <c r="H72" s="8">
        <f t="shared" si="0"/>
        <v>60560</v>
      </c>
      <c r="I72" s="8">
        <f t="shared" si="1"/>
        <v>6050</v>
      </c>
      <c r="J72" s="8" t="str">
        <f t="shared" si="2"/>
        <v/>
      </c>
      <c r="K72" s="8">
        <f t="shared" si="3"/>
        <v>66610</v>
      </c>
    </row>
    <row r="73" spans="2:11" hidden="1">
      <c r="B73" s="7">
        <v>41291</v>
      </c>
      <c r="C73" s="3" t="s">
        <v>44</v>
      </c>
      <c r="D73" s="6" t="s">
        <v>25</v>
      </c>
      <c r="E73" s="3" t="s">
        <v>1</v>
      </c>
      <c r="F73" s="5">
        <v>28</v>
      </c>
      <c r="G73" s="5">
        <v>12050</v>
      </c>
      <c r="H73" s="8">
        <f t="shared" si="0"/>
        <v>337400</v>
      </c>
      <c r="I73" s="8">
        <f t="shared" si="1"/>
        <v>33740</v>
      </c>
      <c r="J73" s="8">
        <f t="shared" si="2"/>
        <v>371140</v>
      </c>
      <c r="K73" s="8" t="str">
        <f t="shared" si="3"/>
        <v/>
      </c>
    </row>
    <row r="74" spans="2:11" hidden="1">
      <c r="B74" s="7">
        <v>41291</v>
      </c>
      <c r="C74" s="3" t="s">
        <v>36</v>
      </c>
      <c r="D74" s="6" t="s">
        <v>21</v>
      </c>
      <c r="E74" s="3" t="s">
        <v>0</v>
      </c>
      <c r="F74" s="5">
        <v>6</v>
      </c>
      <c r="G74" s="5">
        <v>3150</v>
      </c>
      <c r="H74" s="8">
        <f t="shared" si="0"/>
        <v>18900</v>
      </c>
      <c r="I74" s="8">
        <f t="shared" si="1"/>
        <v>1890</v>
      </c>
      <c r="J74" s="8">
        <f t="shared" si="2"/>
        <v>20790</v>
      </c>
      <c r="K74" s="8" t="str">
        <f t="shared" si="3"/>
        <v/>
      </c>
    </row>
    <row r="75" spans="2:11" hidden="1">
      <c r="B75" s="7">
        <v>41291</v>
      </c>
      <c r="C75" s="3" t="s">
        <v>39</v>
      </c>
      <c r="D75" s="6" t="s">
        <v>23</v>
      </c>
      <c r="E75" s="3" t="s">
        <v>0</v>
      </c>
      <c r="F75" s="5">
        <v>6</v>
      </c>
      <c r="G75" s="5">
        <v>2430</v>
      </c>
      <c r="H75" s="8">
        <f t="shared" si="0"/>
        <v>14580</v>
      </c>
      <c r="I75" s="8">
        <f t="shared" si="1"/>
        <v>1450</v>
      </c>
      <c r="J75" s="8">
        <f t="shared" si="2"/>
        <v>16030</v>
      </c>
      <c r="K75" s="8" t="str">
        <f t="shared" si="3"/>
        <v/>
      </c>
    </row>
    <row r="76" spans="2:11" hidden="1">
      <c r="B76" s="7">
        <v>41292</v>
      </c>
      <c r="C76" s="3" t="s">
        <v>37</v>
      </c>
      <c r="D76" s="6" t="s">
        <v>29</v>
      </c>
      <c r="E76" s="3" t="s">
        <v>12</v>
      </c>
      <c r="F76" s="5">
        <v>12</v>
      </c>
      <c r="G76" s="5">
        <v>7820</v>
      </c>
      <c r="H76" s="8">
        <f t="shared" si="0"/>
        <v>93840</v>
      </c>
      <c r="I76" s="8">
        <f t="shared" si="1"/>
        <v>9380</v>
      </c>
      <c r="J76" s="8" t="str">
        <f t="shared" si="2"/>
        <v/>
      </c>
      <c r="K76" s="8">
        <f t="shared" si="3"/>
        <v>103220</v>
      </c>
    </row>
    <row r="77" spans="2:11" hidden="1">
      <c r="B77" s="7">
        <v>41292</v>
      </c>
      <c r="C77" s="3" t="s">
        <v>43</v>
      </c>
      <c r="D77" s="6" t="s">
        <v>11</v>
      </c>
      <c r="E77" s="3" t="s">
        <v>12</v>
      </c>
      <c r="F77" s="5">
        <v>8</v>
      </c>
      <c r="G77" s="5">
        <v>8450</v>
      </c>
      <c r="H77" s="8">
        <f t="shared" ref="H77:H140" si="4">F77*G77</f>
        <v>67600</v>
      </c>
      <c r="I77" s="8">
        <f t="shared" ref="I77:I140" si="5">TRUNC(H77*10%,-1)</f>
        <v>6760</v>
      </c>
      <c r="J77" s="8" t="str">
        <f t="shared" ref="J77:J140" si="6">IF(E77="매입",H77+I77,"")</f>
        <v/>
      </c>
      <c r="K77" s="8">
        <f t="shared" ref="K77:K140" si="7">IF(E77="매출",H77+I77,"")</f>
        <v>74360</v>
      </c>
    </row>
    <row r="78" spans="2:11" hidden="1">
      <c r="B78" s="7">
        <v>41292</v>
      </c>
      <c r="C78" s="3" t="s">
        <v>43</v>
      </c>
      <c r="D78" s="6" t="s">
        <v>23</v>
      </c>
      <c r="E78" s="3" t="s">
        <v>12</v>
      </c>
      <c r="F78" s="5">
        <v>15</v>
      </c>
      <c r="G78" s="5">
        <v>8580</v>
      </c>
      <c r="H78" s="8">
        <f t="shared" si="4"/>
        <v>128700</v>
      </c>
      <c r="I78" s="8">
        <f t="shared" si="5"/>
        <v>12870</v>
      </c>
      <c r="J78" s="8" t="str">
        <f t="shared" si="6"/>
        <v/>
      </c>
      <c r="K78" s="8">
        <f t="shared" si="7"/>
        <v>141570</v>
      </c>
    </row>
    <row r="79" spans="2:11" hidden="1">
      <c r="B79" s="7">
        <v>41292</v>
      </c>
      <c r="C79" s="3" t="s">
        <v>38</v>
      </c>
      <c r="D79" s="6" t="s">
        <v>24</v>
      </c>
      <c r="E79" s="3" t="s">
        <v>0</v>
      </c>
      <c r="F79" s="5">
        <v>10</v>
      </c>
      <c r="G79" s="5">
        <v>3770</v>
      </c>
      <c r="H79" s="8">
        <f t="shared" si="4"/>
        <v>37700</v>
      </c>
      <c r="I79" s="8">
        <f t="shared" si="5"/>
        <v>3770</v>
      </c>
      <c r="J79" s="8">
        <f t="shared" si="6"/>
        <v>41470</v>
      </c>
      <c r="K79" s="8" t="str">
        <f t="shared" si="7"/>
        <v/>
      </c>
    </row>
    <row r="80" spans="2:11" hidden="1">
      <c r="B80" s="7">
        <v>41292</v>
      </c>
      <c r="C80" s="3" t="s">
        <v>38</v>
      </c>
      <c r="D80" s="6" t="s">
        <v>28</v>
      </c>
      <c r="E80" s="3" t="s">
        <v>0</v>
      </c>
      <c r="F80" s="5">
        <v>44</v>
      </c>
      <c r="G80" s="5">
        <v>3880</v>
      </c>
      <c r="H80" s="8">
        <f t="shared" si="4"/>
        <v>170720</v>
      </c>
      <c r="I80" s="8">
        <f t="shared" si="5"/>
        <v>17070</v>
      </c>
      <c r="J80" s="8">
        <f t="shared" si="6"/>
        <v>187790</v>
      </c>
      <c r="K80" s="8" t="str">
        <f t="shared" si="7"/>
        <v/>
      </c>
    </row>
    <row r="81" spans="2:11" hidden="1">
      <c r="B81" s="7">
        <v>41293</v>
      </c>
      <c r="C81" s="3" t="s">
        <v>36</v>
      </c>
      <c r="D81" s="6" t="s">
        <v>13</v>
      </c>
      <c r="E81" s="3" t="s">
        <v>12</v>
      </c>
      <c r="F81" s="5">
        <v>20</v>
      </c>
      <c r="G81" s="5">
        <v>10800</v>
      </c>
      <c r="H81" s="8">
        <f t="shared" si="4"/>
        <v>216000</v>
      </c>
      <c r="I81" s="8">
        <f t="shared" si="5"/>
        <v>21600</v>
      </c>
      <c r="J81" s="8" t="str">
        <f t="shared" si="6"/>
        <v/>
      </c>
      <c r="K81" s="8">
        <f t="shared" si="7"/>
        <v>237600</v>
      </c>
    </row>
    <row r="82" spans="2:11" hidden="1">
      <c r="B82" s="7">
        <v>41293</v>
      </c>
      <c r="C82" s="3" t="s">
        <v>44</v>
      </c>
      <c r="D82" s="6" t="s">
        <v>16</v>
      </c>
      <c r="E82" s="3" t="s">
        <v>0</v>
      </c>
      <c r="F82" s="5">
        <v>15</v>
      </c>
      <c r="G82" s="5">
        <v>4470</v>
      </c>
      <c r="H82" s="8">
        <f t="shared" si="4"/>
        <v>67050</v>
      </c>
      <c r="I82" s="8">
        <f t="shared" si="5"/>
        <v>6700</v>
      </c>
      <c r="J82" s="8">
        <f t="shared" si="6"/>
        <v>73750</v>
      </c>
      <c r="K82" s="8" t="str">
        <f t="shared" si="7"/>
        <v/>
      </c>
    </row>
    <row r="83" spans="2:11" hidden="1">
      <c r="B83" s="7">
        <v>41293</v>
      </c>
      <c r="C83" s="3" t="s">
        <v>36</v>
      </c>
      <c r="D83" s="6" t="s">
        <v>23</v>
      </c>
      <c r="E83" s="3" t="s">
        <v>0</v>
      </c>
      <c r="F83" s="5">
        <v>27</v>
      </c>
      <c r="G83" s="5">
        <v>4690</v>
      </c>
      <c r="H83" s="8">
        <f t="shared" si="4"/>
        <v>126630</v>
      </c>
      <c r="I83" s="8">
        <f t="shared" si="5"/>
        <v>12660</v>
      </c>
      <c r="J83" s="8">
        <f t="shared" si="6"/>
        <v>139290</v>
      </c>
      <c r="K83" s="8" t="str">
        <f t="shared" si="7"/>
        <v/>
      </c>
    </row>
    <row r="84" spans="2:11" hidden="1">
      <c r="B84" s="7">
        <v>41294</v>
      </c>
      <c r="C84" s="3" t="s">
        <v>38</v>
      </c>
      <c r="D84" s="6" t="s">
        <v>20</v>
      </c>
      <c r="E84" s="3" t="s">
        <v>0</v>
      </c>
      <c r="F84" s="5">
        <v>46</v>
      </c>
      <c r="G84" s="5">
        <v>2220</v>
      </c>
      <c r="H84" s="8">
        <f t="shared" si="4"/>
        <v>102120</v>
      </c>
      <c r="I84" s="8">
        <f t="shared" si="5"/>
        <v>10210</v>
      </c>
      <c r="J84" s="8">
        <f t="shared" si="6"/>
        <v>112330</v>
      </c>
      <c r="K84" s="8" t="str">
        <f t="shared" si="7"/>
        <v/>
      </c>
    </row>
    <row r="85" spans="2:11" hidden="1">
      <c r="B85" s="7">
        <v>41294</v>
      </c>
      <c r="C85" s="3" t="s">
        <v>41</v>
      </c>
      <c r="D85" s="6" t="s">
        <v>20</v>
      </c>
      <c r="E85" s="3" t="s">
        <v>0</v>
      </c>
      <c r="F85" s="5">
        <v>29</v>
      </c>
      <c r="G85" s="5">
        <v>5710</v>
      </c>
      <c r="H85" s="8">
        <f t="shared" si="4"/>
        <v>165590</v>
      </c>
      <c r="I85" s="8">
        <f t="shared" si="5"/>
        <v>16550</v>
      </c>
      <c r="J85" s="8">
        <f t="shared" si="6"/>
        <v>182140</v>
      </c>
      <c r="K85" s="8" t="str">
        <f t="shared" si="7"/>
        <v/>
      </c>
    </row>
    <row r="86" spans="2:11" hidden="1">
      <c r="B86" s="7">
        <v>41295</v>
      </c>
      <c r="C86" s="3" t="s">
        <v>41</v>
      </c>
      <c r="D86" s="6" t="s">
        <v>26</v>
      </c>
      <c r="E86" s="3" t="s">
        <v>12</v>
      </c>
      <c r="F86" s="5">
        <v>5</v>
      </c>
      <c r="G86" s="5">
        <v>6570</v>
      </c>
      <c r="H86" s="8">
        <f t="shared" si="4"/>
        <v>32850</v>
      </c>
      <c r="I86" s="8">
        <f t="shared" si="5"/>
        <v>3280</v>
      </c>
      <c r="J86" s="8" t="str">
        <f t="shared" si="6"/>
        <v/>
      </c>
      <c r="K86" s="8">
        <f t="shared" si="7"/>
        <v>36130</v>
      </c>
    </row>
    <row r="87" spans="2:11" hidden="1">
      <c r="B87" s="7">
        <v>41295</v>
      </c>
      <c r="C87" s="3" t="s">
        <v>39</v>
      </c>
      <c r="D87" s="6" t="s">
        <v>19</v>
      </c>
      <c r="E87" s="3" t="s">
        <v>0</v>
      </c>
      <c r="F87" s="5">
        <v>45</v>
      </c>
      <c r="G87" s="5">
        <v>2770</v>
      </c>
      <c r="H87" s="8">
        <f t="shared" si="4"/>
        <v>124650</v>
      </c>
      <c r="I87" s="8">
        <f t="shared" si="5"/>
        <v>12460</v>
      </c>
      <c r="J87" s="8">
        <f t="shared" si="6"/>
        <v>137110</v>
      </c>
      <c r="K87" s="8" t="str">
        <f t="shared" si="7"/>
        <v/>
      </c>
    </row>
    <row r="88" spans="2:11" hidden="1">
      <c r="B88" s="7">
        <v>41295</v>
      </c>
      <c r="C88" s="3" t="s">
        <v>41</v>
      </c>
      <c r="D88" s="6" t="s">
        <v>11</v>
      </c>
      <c r="E88" s="3" t="s">
        <v>0</v>
      </c>
      <c r="F88" s="5">
        <v>43</v>
      </c>
      <c r="G88" s="5">
        <v>1930</v>
      </c>
      <c r="H88" s="8">
        <f t="shared" si="4"/>
        <v>82990</v>
      </c>
      <c r="I88" s="8">
        <f t="shared" si="5"/>
        <v>8290</v>
      </c>
      <c r="J88" s="8">
        <f t="shared" si="6"/>
        <v>91280</v>
      </c>
      <c r="K88" s="8" t="str">
        <f t="shared" si="7"/>
        <v/>
      </c>
    </row>
    <row r="89" spans="2:11" hidden="1">
      <c r="B89" s="7">
        <v>41295</v>
      </c>
      <c r="C89" s="3" t="s">
        <v>41</v>
      </c>
      <c r="D89" s="6" t="s">
        <v>28</v>
      </c>
      <c r="E89" s="3" t="s">
        <v>0</v>
      </c>
      <c r="F89" s="5">
        <v>19</v>
      </c>
      <c r="G89" s="5">
        <v>2840</v>
      </c>
      <c r="H89" s="8">
        <f t="shared" si="4"/>
        <v>53960</v>
      </c>
      <c r="I89" s="8">
        <f t="shared" si="5"/>
        <v>5390</v>
      </c>
      <c r="J89" s="8">
        <f t="shared" si="6"/>
        <v>59350</v>
      </c>
      <c r="K89" s="8" t="str">
        <f t="shared" si="7"/>
        <v/>
      </c>
    </row>
    <row r="90" spans="2:11" hidden="1">
      <c r="B90" s="7">
        <v>41296</v>
      </c>
      <c r="C90" s="3" t="s">
        <v>38</v>
      </c>
      <c r="D90" s="6" t="s">
        <v>19</v>
      </c>
      <c r="E90" s="3" t="s">
        <v>0</v>
      </c>
      <c r="F90" s="5">
        <v>7</v>
      </c>
      <c r="G90" s="5">
        <v>3900</v>
      </c>
      <c r="H90" s="8">
        <f t="shared" si="4"/>
        <v>27300</v>
      </c>
      <c r="I90" s="8">
        <f t="shared" si="5"/>
        <v>2730</v>
      </c>
      <c r="J90" s="8">
        <f t="shared" si="6"/>
        <v>30030</v>
      </c>
      <c r="K90" s="8" t="str">
        <f t="shared" si="7"/>
        <v/>
      </c>
    </row>
    <row r="91" spans="2:11" hidden="1">
      <c r="B91" s="7">
        <v>41297</v>
      </c>
      <c r="C91" s="3" t="s">
        <v>43</v>
      </c>
      <c r="D91" s="6" t="s">
        <v>17</v>
      </c>
      <c r="E91" s="3" t="s">
        <v>12</v>
      </c>
      <c r="F91" s="5">
        <v>13</v>
      </c>
      <c r="G91" s="5">
        <v>21650</v>
      </c>
      <c r="H91" s="8">
        <f t="shared" si="4"/>
        <v>281450</v>
      </c>
      <c r="I91" s="8">
        <f t="shared" si="5"/>
        <v>28140</v>
      </c>
      <c r="J91" s="8" t="str">
        <f t="shared" si="6"/>
        <v/>
      </c>
      <c r="K91" s="8">
        <f t="shared" si="7"/>
        <v>309590</v>
      </c>
    </row>
    <row r="92" spans="2:11" hidden="1">
      <c r="B92" s="7">
        <v>41297</v>
      </c>
      <c r="C92" s="3" t="s">
        <v>42</v>
      </c>
      <c r="D92" s="6" t="s">
        <v>24</v>
      </c>
      <c r="E92" s="3" t="s">
        <v>0</v>
      </c>
      <c r="F92" s="5">
        <v>5</v>
      </c>
      <c r="G92" s="5">
        <v>2770</v>
      </c>
      <c r="H92" s="8">
        <f t="shared" si="4"/>
        <v>13850</v>
      </c>
      <c r="I92" s="8">
        <f t="shared" si="5"/>
        <v>1380</v>
      </c>
      <c r="J92" s="8">
        <f t="shared" si="6"/>
        <v>15230</v>
      </c>
      <c r="K92" s="8" t="str">
        <f t="shared" si="7"/>
        <v/>
      </c>
    </row>
    <row r="93" spans="2:11" hidden="1">
      <c r="B93" s="7">
        <v>41297</v>
      </c>
      <c r="C93" s="3" t="s">
        <v>43</v>
      </c>
      <c r="D93" s="6" t="s">
        <v>14</v>
      </c>
      <c r="E93" s="3" t="s">
        <v>0</v>
      </c>
      <c r="F93" s="5">
        <v>15</v>
      </c>
      <c r="G93" s="5">
        <v>1540</v>
      </c>
      <c r="H93" s="8">
        <f t="shared" si="4"/>
        <v>23100</v>
      </c>
      <c r="I93" s="8">
        <f t="shared" si="5"/>
        <v>2310</v>
      </c>
      <c r="J93" s="8">
        <f t="shared" si="6"/>
        <v>25410</v>
      </c>
      <c r="K93" s="8" t="str">
        <f t="shared" si="7"/>
        <v/>
      </c>
    </row>
    <row r="94" spans="2:11" hidden="1">
      <c r="B94" s="7">
        <v>41297</v>
      </c>
      <c r="C94" s="3" t="s">
        <v>38</v>
      </c>
      <c r="D94" s="6" t="s">
        <v>22</v>
      </c>
      <c r="E94" s="3" t="s">
        <v>0</v>
      </c>
      <c r="F94" s="5">
        <v>8</v>
      </c>
      <c r="G94" s="5">
        <v>3310</v>
      </c>
      <c r="H94" s="8">
        <f t="shared" si="4"/>
        <v>26480</v>
      </c>
      <c r="I94" s="8">
        <f t="shared" si="5"/>
        <v>2640</v>
      </c>
      <c r="J94" s="8">
        <f t="shared" si="6"/>
        <v>29120</v>
      </c>
      <c r="K94" s="8" t="str">
        <f t="shared" si="7"/>
        <v/>
      </c>
    </row>
    <row r="95" spans="2:11" hidden="1">
      <c r="B95" s="7">
        <v>41298</v>
      </c>
      <c r="C95" s="3" t="s">
        <v>37</v>
      </c>
      <c r="D95" s="6" t="s">
        <v>26</v>
      </c>
      <c r="E95" s="3" t="s">
        <v>12</v>
      </c>
      <c r="F95" s="5">
        <v>12</v>
      </c>
      <c r="G95" s="5">
        <v>7200</v>
      </c>
      <c r="H95" s="8">
        <f t="shared" si="4"/>
        <v>86400</v>
      </c>
      <c r="I95" s="8">
        <f t="shared" si="5"/>
        <v>8640</v>
      </c>
      <c r="J95" s="8" t="str">
        <f t="shared" si="6"/>
        <v/>
      </c>
      <c r="K95" s="8">
        <f t="shared" si="7"/>
        <v>95040</v>
      </c>
    </row>
    <row r="96" spans="2:11" hidden="1">
      <c r="B96" s="7">
        <v>41298</v>
      </c>
      <c r="C96" s="3" t="s">
        <v>38</v>
      </c>
      <c r="D96" s="6" t="s">
        <v>25</v>
      </c>
      <c r="E96" s="3" t="s">
        <v>12</v>
      </c>
      <c r="F96" s="5">
        <v>8</v>
      </c>
      <c r="G96" s="5">
        <v>8330</v>
      </c>
      <c r="H96" s="8">
        <f t="shared" si="4"/>
        <v>66640</v>
      </c>
      <c r="I96" s="8">
        <f t="shared" si="5"/>
        <v>6660</v>
      </c>
      <c r="J96" s="8" t="str">
        <f t="shared" si="6"/>
        <v/>
      </c>
      <c r="K96" s="8">
        <f t="shared" si="7"/>
        <v>73300</v>
      </c>
    </row>
    <row r="97" spans="2:11" hidden="1">
      <c r="B97" s="7">
        <v>41298</v>
      </c>
      <c r="C97" s="3" t="s">
        <v>38</v>
      </c>
      <c r="D97" s="6" t="s">
        <v>13</v>
      </c>
      <c r="E97" s="3" t="s">
        <v>12</v>
      </c>
      <c r="F97" s="5">
        <v>21</v>
      </c>
      <c r="G97" s="5">
        <v>11200</v>
      </c>
      <c r="H97" s="8">
        <f t="shared" si="4"/>
        <v>235200</v>
      </c>
      <c r="I97" s="8">
        <f t="shared" si="5"/>
        <v>23520</v>
      </c>
      <c r="J97" s="8" t="str">
        <f t="shared" si="6"/>
        <v/>
      </c>
      <c r="K97" s="8">
        <f t="shared" si="7"/>
        <v>258720</v>
      </c>
    </row>
    <row r="98" spans="2:11" hidden="1">
      <c r="B98" s="7">
        <v>41298</v>
      </c>
      <c r="C98" s="3" t="s">
        <v>36</v>
      </c>
      <c r="D98" s="6" t="s">
        <v>17</v>
      </c>
      <c r="E98" s="3" t="s">
        <v>12</v>
      </c>
      <c r="F98" s="5">
        <v>20</v>
      </c>
      <c r="G98" s="5">
        <v>21650</v>
      </c>
      <c r="H98" s="8">
        <f t="shared" si="4"/>
        <v>433000</v>
      </c>
      <c r="I98" s="8">
        <f t="shared" si="5"/>
        <v>43300</v>
      </c>
      <c r="J98" s="8" t="str">
        <f t="shared" si="6"/>
        <v/>
      </c>
      <c r="K98" s="8">
        <f t="shared" si="7"/>
        <v>476300</v>
      </c>
    </row>
    <row r="99" spans="2:11" hidden="1">
      <c r="B99" s="7">
        <v>41298</v>
      </c>
      <c r="C99" s="3" t="s">
        <v>39</v>
      </c>
      <c r="D99" s="6" t="s">
        <v>22</v>
      </c>
      <c r="E99" s="3" t="s">
        <v>0</v>
      </c>
      <c r="F99" s="5">
        <v>28</v>
      </c>
      <c r="G99" s="5">
        <v>4310</v>
      </c>
      <c r="H99" s="8">
        <f t="shared" si="4"/>
        <v>120680</v>
      </c>
      <c r="I99" s="8">
        <f t="shared" si="5"/>
        <v>12060</v>
      </c>
      <c r="J99" s="8">
        <f t="shared" si="6"/>
        <v>132740</v>
      </c>
      <c r="K99" s="8" t="str">
        <f t="shared" si="7"/>
        <v/>
      </c>
    </row>
    <row r="100" spans="2:11" hidden="1">
      <c r="B100" s="7">
        <v>41299</v>
      </c>
      <c r="C100" s="3" t="s">
        <v>45</v>
      </c>
      <c r="D100" s="6" t="s">
        <v>19</v>
      </c>
      <c r="E100" s="3" t="s">
        <v>0</v>
      </c>
      <c r="F100" s="5">
        <v>40</v>
      </c>
      <c r="G100" s="5">
        <v>3520</v>
      </c>
      <c r="H100" s="8">
        <f t="shared" si="4"/>
        <v>140800</v>
      </c>
      <c r="I100" s="8">
        <f t="shared" si="5"/>
        <v>14080</v>
      </c>
      <c r="J100" s="8">
        <f t="shared" si="6"/>
        <v>154880</v>
      </c>
      <c r="K100" s="8" t="str">
        <f t="shared" si="7"/>
        <v/>
      </c>
    </row>
    <row r="101" spans="2:11" hidden="1">
      <c r="B101" s="7">
        <v>41300</v>
      </c>
      <c r="C101" s="3" t="s">
        <v>38</v>
      </c>
      <c r="D101" s="6" t="s">
        <v>11</v>
      </c>
      <c r="E101" s="3" t="s">
        <v>0</v>
      </c>
      <c r="F101" s="5">
        <v>32</v>
      </c>
      <c r="G101" s="5">
        <v>3060</v>
      </c>
      <c r="H101" s="8">
        <f t="shared" si="4"/>
        <v>97920</v>
      </c>
      <c r="I101" s="8">
        <f t="shared" si="5"/>
        <v>9790</v>
      </c>
      <c r="J101" s="8">
        <f t="shared" si="6"/>
        <v>107710</v>
      </c>
      <c r="K101" s="8" t="str">
        <f t="shared" si="7"/>
        <v/>
      </c>
    </row>
    <row r="102" spans="2:11" hidden="1">
      <c r="B102" s="7">
        <v>41301</v>
      </c>
      <c r="C102" s="3" t="s">
        <v>37</v>
      </c>
      <c r="D102" s="6" t="s">
        <v>24</v>
      </c>
      <c r="E102" s="3" t="s">
        <v>1</v>
      </c>
      <c r="F102" s="5">
        <v>16</v>
      </c>
      <c r="G102" s="5">
        <v>8950</v>
      </c>
      <c r="H102" s="8">
        <f t="shared" si="4"/>
        <v>143200</v>
      </c>
      <c r="I102" s="8">
        <f t="shared" si="5"/>
        <v>14320</v>
      </c>
      <c r="J102" s="8">
        <f t="shared" si="6"/>
        <v>157520</v>
      </c>
      <c r="K102" s="8" t="str">
        <f t="shared" si="7"/>
        <v/>
      </c>
    </row>
    <row r="103" spans="2:11" hidden="1">
      <c r="B103" s="7">
        <v>41301</v>
      </c>
      <c r="C103" s="3" t="s">
        <v>39</v>
      </c>
      <c r="D103" s="6" t="s">
        <v>22</v>
      </c>
      <c r="E103" s="3" t="s">
        <v>12</v>
      </c>
      <c r="F103" s="5">
        <v>29</v>
      </c>
      <c r="G103" s="5">
        <v>9330</v>
      </c>
      <c r="H103" s="8">
        <f t="shared" si="4"/>
        <v>270570</v>
      </c>
      <c r="I103" s="8">
        <f t="shared" si="5"/>
        <v>27050</v>
      </c>
      <c r="J103" s="8" t="str">
        <f t="shared" si="6"/>
        <v/>
      </c>
      <c r="K103" s="8">
        <f t="shared" si="7"/>
        <v>297620</v>
      </c>
    </row>
    <row r="104" spans="2:11" hidden="1">
      <c r="B104" s="7">
        <v>41301</v>
      </c>
      <c r="C104" s="3" t="s">
        <v>38</v>
      </c>
      <c r="D104" s="6" t="s">
        <v>26</v>
      </c>
      <c r="E104" s="3" t="s">
        <v>0</v>
      </c>
      <c r="F104" s="5">
        <v>32</v>
      </c>
      <c r="G104" s="5">
        <v>3900</v>
      </c>
      <c r="H104" s="8">
        <f t="shared" si="4"/>
        <v>124800</v>
      </c>
      <c r="I104" s="8">
        <f t="shared" si="5"/>
        <v>12480</v>
      </c>
      <c r="J104" s="8">
        <f t="shared" si="6"/>
        <v>137280</v>
      </c>
      <c r="K104" s="8" t="str">
        <f t="shared" si="7"/>
        <v/>
      </c>
    </row>
    <row r="105" spans="2:11" hidden="1">
      <c r="B105" s="7">
        <v>41301</v>
      </c>
      <c r="C105" s="3" t="s">
        <v>43</v>
      </c>
      <c r="D105" s="6" t="s">
        <v>18</v>
      </c>
      <c r="E105" s="3" t="s">
        <v>0</v>
      </c>
      <c r="F105" s="5">
        <v>25</v>
      </c>
      <c r="G105" s="5">
        <v>2490</v>
      </c>
      <c r="H105" s="8">
        <f t="shared" si="4"/>
        <v>62250</v>
      </c>
      <c r="I105" s="8">
        <f t="shared" si="5"/>
        <v>6220</v>
      </c>
      <c r="J105" s="8">
        <f t="shared" si="6"/>
        <v>68470</v>
      </c>
      <c r="K105" s="8" t="str">
        <f t="shared" si="7"/>
        <v/>
      </c>
    </row>
    <row r="106" spans="2:11" hidden="1">
      <c r="B106" s="7">
        <v>41301</v>
      </c>
      <c r="C106" s="3" t="s">
        <v>44</v>
      </c>
      <c r="D106" s="6" t="s">
        <v>11</v>
      </c>
      <c r="E106" s="3" t="s">
        <v>0</v>
      </c>
      <c r="F106" s="5">
        <v>46</v>
      </c>
      <c r="G106" s="5">
        <v>4060</v>
      </c>
      <c r="H106" s="8">
        <f t="shared" si="4"/>
        <v>186760</v>
      </c>
      <c r="I106" s="8">
        <f t="shared" si="5"/>
        <v>18670</v>
      </c>
      <c r="J106" s="8">
        <f t="shared" si="6"/>
        <v>205430</v>
      </c>
      <c r="K106" s="8" t="str">
        <f t="shared" si="7"/>
        <v/>
      </c>
    </row>
    <row r="107" spans="2:11" hidden="1">
      <c r="B107" s="7">
        <v>41302</v>
      </c>
      <c r="C107" s="3" t="s">
        <v>43</v>
      </c>
      <c r="D107" s="6" t="s">
        <v>18</v>
      </c>
      <c r="E107" s="3" t="s">
        <v>12</v>
      </c>
      <c r="F107" s="5">
        <v>47</v>
      </c>
      <c r="G107" s="5">
        <v>7450</v>
      </c>
      <c r="H107" s="8">
        <f t="shared" si="4"/>
        <v>350150</v>
      </c>
      <c r="I107" s="8">
        <f t="shared" si="5"/>
        <v>35010</v>
      </c>
      <c r="J107" s="8" t="str">
        <f t="shared" si="6"/>
        <v/>
      </c>
      <c r="K107" s="8">
        <f t="shared" si="7"/>
        <v>385160</v>
      </c>
    </row>
    <row r="108" spans="2:11" hidden="1">
      <c r="B108" s="7">
        <v>41302</v>
      </c>
      <c r="C108" s="3" t="s">
        <v>38</v>
      </c>
      <c r="D108" s="6" t="s">
        <v>16</v>
      </c>
      <c r="E108" s="3" t="s">
        <v>12</v>
      </c>
      <c r="F108" s="5">
        <v>9</v>
      </c>
      <c r="G108" s="5">
        <v>11010</v>
      </c>
      <c r="H108" s="8">
        <f t="shared" si="4"/>
        <v>99090</v>
      </c>
      <c r="I108" s="8">
        <f t="shared" si="5"/>
        <v>9900</v>
      </c>
      <c r="J108" s="8" t="str">
        <f t="shared" si="6"/>
        <v/>
      </c>
      <c r="K108" s="8">
        <f t="shared" si="7"/>
        <v>108990</v>
      </c>
    </row>
    <row r="109" spans="2:11" hidden="1">
      <c r="B109" s="7">
        <v>41302</v>
      </c>
      <c r="C109" s="3" t="s">
        <v>40</v>
      </c>
      <c r="D109" s="6" t="s">
        <v>11</v>
      </c>
      <c r="E109" s="3" t="s">
        <v>0</v>
      </c>
      <c r="F109" s="5">
        <v>22</v>
      </c>
      <c r="G109" s="5">
        <v>3770</v>
      </c>
      <c r="H109" s="8">
        <f t="shared" si="4"/>
        <v>82940</v>
      </c>
      <c r="I109" s="8">
        <f t="shared" si="5"/>
        <v>8290</v>
      </c>
      <c r="J109" s="8">
        <f t="shared" si="6"/>
        <v>91230</v>
      </c>
      <c r="K109" s="8" t="str">
        <f t="shared" si="7"/>
        <v/>
      </c>
    </row>
    <row r="110" spans="2:11" hidden="1">
      <c r="B110" s="7">
        <v>41302</v>
      </c>
      <c r="C110" s="3" t="s">
        <v>45</v>
      </c>
      <c r="D110" s="6" t="s">
        <v>19</v>
      </c>
      <c r="E110" s="3" t="s">
        <v>0</v>
      </c>
      <c r="F110" s="5">
        <v>23</v>
      </c>
      <c r="G110" s="5">
        <v>2060</v>
      </c>
      <c r="H110" s="8">
        <f t="shared" si="4"/>
        <v>47380</v>
      </c>
      <c r="I110" s="8">
        <f t="shared" si="5"/>
        <v>4730</v>
      </c>
      <c r="J110" s="8">
        <f t="shared" si="6"/>
        <v>52110</v>
      </c>
      <c r="K110" s="8" t="str">
        <f t="shared" si="7"/>
        <v/>
      </c>
    </row>
    <row r="111" spans="2:11" hidden="1">
      <c r="B111" s="7">
        <v>41302</v>
      </c>
      <c r="C111" s="3" t="s">
        <v>39</v>
      </c>
      <c r="D111" s="6" t="s">
        <v>26</v>
      </c>
      <c r="E111" s="3" t="s">
        <v>0</v>
      </c>
      <c r="F111" s="5">
        <v>26</v>
      </c>
      <c r="G111" s="5">
        <v>5070</v>
      </c>
      <c r="H111" s="8">
        <f t="shared" si="4"/>
        <v>131820</v>
      </c>
      <c r="I111" s="8">
        <f t="shared" si="5"/>
        <v>13180</v>
      </c>
      <c r="J111" s="8">
        <f t="shared" si="6"/>
        <v>145000</v>
      </c>
      <c r="K111" s="8" t="str">
        <f t="shared" si="7"/>
        <v/>
      </c>
    </row>
    <row r="112" spans="2:11" hidden="1">
      <c r="B112" s="7">
        <v>41303</v>
      </c>
      <c r="C112" s="3" t="s">
        <v>42</v>
      </c>
      <c r="D112" s="6" t="s">
        <v>14</v>
      </c>
      <c r="E112" s="3" t="s">
        <v>0</v>
      </c>
      <c r="F112" s="5">
        <v>39</v>
      </c>
      <c r="G112" s="5">
        <v>2610</v>
      </c>
      <c r="H112" s="8">
        <f t="shared" si="4"/>
        <v>101790</v>
      </c>
      <c r="I112" s="8">
        <f t="shared" si="5"/>
        <v>10170</v>
      </c>
      <c r="J112" s="8">
        <f t="shared" si="6"/>
        <v>111960</v>
      </c>
      <c r="K112" s="8" t="str">
        <f t="shared" si="7"/>
        <v/>
      </c>
    </row>
    <row r="113" spans="2:11" hidden="1">
      <c r="B113" s="7">
        <v>41303</v>
      </c>
      <c r="C113" s="3" t="s">
        <v>40</v>
      </c>
      <c r="D113" s="6" t="s">
        <v>14</v>
      </c>
      <c r="E113" s="3" t="s">
        <v>0</v>
      </c>
      <c r="F113" s="5">
        <v>31</v>
      </c>
      <c r="G113" s="5">
        <v>3190</v>
      </c>
      <c r="H113" s="8">
        <f t="shared" si="4"/>
        <v>98890</v>
      </c>
      <c r="I113" s="8">
        <f t="shared" si="5"/>
        <v>9880</v>
      </c>
      <c r="J113" s="8">
        <f t="shared" si="6"/>
        <v>108770</v>
      </c>
      <c r="K113" s="8" t="str">
        <f t="shared" si="7"/>
        <v/>
      </c>
    </row>
    <row r="114" spans="2:11" hidden="1">
      <c r="B114" s="7">
        <v>41303</v>
      </c>
      <c r="C114" s="3" t="s">
        <v>44</v>
      </c>
      <c r="D114" s="6" t="s">
        <v>15</v>
      </c>
      <c r="E114" s="3" t="s">
        <v>0</v>
      </c>
      <c r="F114" s="5">
        <v>16</v>
      </c>
      <c r="G114" s="5">
        <v>4690</v>
      </c>
      <c r="H114" s="8">
        <f t="shared" si="4"/>
        <v>75040</v>
      </c>
      <c r="I114" s="8">
        <f t="shared" si="5"/>
        <v>7500</v>
      </c>
      <c r="J114" s="8">
        <f t="shared" si="6"/>
        <v>82540</v>
      </c>
      <c r="K114" s="8" t="str">
        <f t="shared" si="7"/>
        <v/>
      </c>
    </row>
    <row r="115" spans="2:11" hidden="1">
      <c r="B115" s="7">
        <v>41304</v>
      </c>
      <c r="C115" s="3" t="s">
        <v>39</v>
      </c>
      <c r="D115" s="6" t="s">
        <v>21</v>
      </c>
      <c r="E115" s="3" t="s">
        <v>12</v>
      </c>
      <c r="F115" s="5">
        <v>27</v>
      </c>
      <c r="G115" s="5">
        <v>8080</v>
      </c>
      <c r="H115" s="8">
        <f t="shared" si="4"/>
        <v>218160</v>
      </c>
      <c r="I115" s="8">
        <f t="shared" si="5"/>
        <v>21810</v>
      </c>
      <c r="J115" s="8" t="str">
        <f t="shared" si="6"/>
        <v/>
      </c>
      <c r="K115" s="8">
        <f t="shared" si="7"/>
        <v>239970</v>
      </c>
    </row>
    <row r="116" spans="2:11" hidden="1">
      <c r="B116" s="7">
        <v>41305</v>
      </c>
      <c r="C116" s="3" t="s">
        <v>40</v>
      </c>
      <c r="D116" s="6" t="s">
        <v>23</v>
      </c>
      <c r="E116" s="3" t="s">
        <v>12</v>
      </c>
      <c r="F116" s="5">
        <v>33</v>
      </c>
      <c r="G116" s="5">
        <v>5940</v>
      </c>
      <c r="H116" s="8">
        <f t="shared" si="4"/>
        <v>196020</v>
      </c>
      <c r="I116" s="8">
        <f t="shared" si="5"/>
        <v>19600</v>
      </c>
      <c r="J116" s="8" t="str">
        <f t="shared" si="6"/>
        <v/>
      </c>
      <c r="K116" s="8">
        <f t="shared" si="7"/>
        <v>215620</v>
      </c>
    </row>
    <row r="117" spans="2:11" hidden="1">
      <c r="B117" s="7">
        <v>41305</v>
      </c>
      <c r="C117" s="3" t="s">
        <v>36</v>
      </c>
      <c r="D117" s="6" t="s">
        <v>19</v>
      </c>
      <c r="E117" s="3" t="s">
        <v>12</v>
      </c>
      <c r="F117" s="5">
        <v>35</v>
      </c>
      <c r="G117" s="5">
        <v>10080</v>
      </c>
      <c r="H117" s="8">
        <f t="shared" si="4"/>
        <v>352800</v>
      </c>
      <c r="I117" s="8">
        <f t="shared" si="5"/>
        <v>35280</v>
      </c>
      <c r="J117" s="8" t="str">
        <f t="shared" si="6"/>
        <v/>
      </c>
      <c r="K117" s="8">
        <f t="shared" si="7"/>
        <v>388080</v>
      </c>
    </row>
    <row r="118" spans="2:11" hidden="1">
      <c r="B118" s="7">
        <v>41305</v>
      </c>
      <c r="C118" s="3" t="s">
        <v>45</v>
      </c>
      <c r="D118" s="6" t="s">
        <v>13</v>
      </c>
      <c r="E118" s="3" t="s">
        <v>0</v>
      </c>
      <c r="F118" s="5">
        <v>17</v>
      </c>
      <c r="G118" s="5">
        <v>1950</v>
      </c>
      <c r="H118" s="8">
        <f t="shared" si="4"/>
        <v>33150</v>
      </c>
      <c r="I118" s="8">
        <f t="shared" si="5"/>
        <v>3310</v>
      </c>
      <c r="J118" s="8">
        <f t="shared" si="6"/>
        <v>36460</v>
      </c>
      <c r="K118" s="8" t="str">
        <f t="shared" si="7"/>
        <v/>
      </c>
    </row>
    <row r="119" spans="2:11" hidden="1">
      <c r="B119" s="7">
        <v>41305</v>
      </c>
      <c r="C119" s="3" t="s">
        <v>45</v>
      </c>
      <c r="D119" s="6" t="s">
        <v>25</v>
      </c>
      <c r="E119" s="3" t="s">
        <v>0</v>
      </c>
      <c r="F119" s="5">
        <v>16</v>
      </c>
      <c r="G119" s="5">
        <v>2690</v>
      </c>
      <c r="H119" s="8">
        <f t="shared" si="4"/>
        <v>43040</v>
      </c>
      <c r="I119" s="8">
        <f t="shared" si="5"/>
        <v>4300</v>
      </c>
      <c r="J119" s="8">
        <f t="shared" si="6"/>
        <v>47340</v>
      </c>
      <c r="K119" s="8" t="str">
        <f t="shared" si="7"/>
        <v/>
      </c>
    </row>
    <row r="120" spans="2:11" hidden="1">
      <c r="B120" s="7">
        <v>41305</v>
      </c>
      <c r="C120" s="3" t="s">
        <v>40</v>
      </c>
      <c r="D120" s="6" t="s">
        <v>16</v>
      </c>
      <c r="E120" s="3" t="s">
        <v>0</v>
      </c>
      <c r="F120" s="5">
        <v>42</v>
      </c>
      <c r="G120" s="5">
        <v>3580</v>
      </c>
      <c r="H120" s="8">
        <f t="shared" si="4"/>
        <v>150360</v>
      </c>
      <c r="I120" s="8">
        <f t="shared" si="5"/>
        <v>15030</v>
      </c>
      <c r="J120" s="8">
        <f t="shared" si="6"/>
        <v>165390</v>
      </c>
      <c r="K120" s="8" t="str">
        <f t="shared" si="7"/>
        <v/>
      </c>
    </row>
    <row r="121" spans="2:11" hidden="1">
      <c r="B121" s="7">
        <v>41305</v>
      </c>
      <c r="C121" s="3" t="s">
        <v>44</v>
      </c>
      <c r="D121" s="6" t="s">
        <v>18</v>
      </c>
      <c r="E121" s="3" t="s">
        <v>0</v>
      </c>
      <c r="F121" s="5">
        <v>45</v>
      </c>
      <c r="G121" s="5">
        <v>3830</v>
      </c>
      <c r="H121" s="8">
        <f t="shared" si="4"/>
        <v>172350</v>
      </c>
      <c r="I121" s="8">
        <f t="shared" si="5"/>
        <v>17230</v>
      </c>
      <c r="J121" s="8">
        <f t="shared" si="6"/>
        <v>189580</v>
      </c>
      <c r="K121" s="8" t="str">
        <f t="shared" si="7"/>
        <v/>
      </c>
    </row>
    <row r="122" spans="2:11" hidden="1">
      <c r="B122" s="7">
        <v>41306</v>
      </c>
      <c r="C122" s="3" t="s">
        <v>40</v>
      </c>
      <c r="D122" s="6" t="s">
        <v>22</v>
      </c>
      <c r="E122" s="3" t="s">
        <v>12</v>
      </c>
      <c r="F122" s="5">
        <v>10</v>
      </c>
      <c r="G122" s="5">
        <v>9080</v>
      </c>
      <c r="H122" s="8">
        <f t="shared" si="4"/>
        <v>90800</v>
      </c>
      <c r="I122" s="8">
        <f t="shared" si="5"/>
        <v>9080</v>
      </c>
      <c r="J122" s="8" t="str">
        <f t="shared" si="6"/>
        <v/>
      </c>
      <c r="K122" s="8">
        <f t="shared" si="7"/>
        <v>99880</v>
      </c>
    </row>
    <row r="123" spans="2:11" hidden="1">
      <c r="B123" s="7">
        <v>41306</v>
      </c>
      <c r="C123" s="3" t="s">
        <v>45</v>
      </c>
      <c r="D123" s="6" t="s">
        <v>26</v>
      </c>
      <c r="E123" s="3" t="s">
        <v>0</v>
      </c>
      <c r="F123" s="5">
        <v>44</v>
      </c>
      <c r="G123" s="5">
        <v>3150</v>
      </c>
      <c r="H123" s="8">
        <f t="shared" si="4"/>
        <v>138600</v>
      </c>
      <c r="I123" s="8">
        <f t="shared" si="5"/>
        <v>13860</v>
      </c>
      <c r="J123" s="8">
        <f t="shared" si="6"/>
        <v>152460</v>
      </c>
      <c r="K123" s="8" t="str">
        <f t="shared" si="7"/>
        <v/>
      </c>
    </row>
    <row r="124" spans="2:11" hidden="1">
      <c r="B124" s="7">
        <v>41306</v>
      </c>
      <c r="C124" s="3" t="s">
        <v>36</v>
      </c>
      <c r="D124" s="6" t="s">
        <v>13</v>
      </c>
      <c r="E124" s="3" t="s">
        <v>0</v>
      </c>
      <c r="F124" s="5">
        <v>20</v>
      </c>
      <c r="G124" s="5">
        <v>3290</v>
      </c>
      <c r="H124" s="8">
        <f t="shared" si="4"/>
        <v>65800</v>
      </c>
      <c r="I124" s="8">
        <f t="shared" si="5"/>
        <v>6580</v>
      </c>
      <c r="J124" s="8">
        <f t="shared" si="6"/>
        <v>72380</v>
      </c>
      <c r="K124" s="8" t="str">
        <f t="shared" si="7"/>
        <v/>
      </c>
    </row>
    <row r="125" spans="2:11" hidden="1">
      <c r="B125" s="7">
        <v>41306</v>
      </c>
      <c r="C125" s="3" t="s">
        <v>42</v>
      </c>
      <c r="D125" s="6" t="s">
        <v>26</v>
      </c>
      <c r="E125" s="3" t="s">
        <v>0</v>
      </c>
      <c r="F125" s="5">
        <v>21</v>
      </c>
      <c r="G125" s="5">
        <v>3810</v>
      </c>
      <c r="H125" s="8">
        <f t="shared" si="4"/>
        <v>80010</v>
      </c>
      <c r="I125" s="8">
        <f t="shared" si="5"/>
        <v>8000</v>
      </c>
      <c r="J125" s="8">
        <f t="shared" si="6"/>
        <v>88010</v>
      </c>
      <c r="K125" s="8" t="str">
        <f t="shared" si="7"/>
        <v/>
      </c>
    </row>
    <row r="126" spans="2:11" hidden="1">
      <c r="B126" s="7">
        <v>41306</v>
      </c>
      <c r="C126" s="3" t="s">
        <v>37</v>
      </c>
      <c r="D126" s="6" t="s">
        <v>11</v>
      </c>
      <c r="E126" s="3" t="s">
        <v>0</v>
      </c>
      <c r="F126" s="5">
        <v>34</v>
      </c>
      <c r="G126" s="5">
        <v>4060</v>
      </c>
      <c r="H126" s="8">
        <f t="shared" si="4"/>
        <v>138040</v>
      </c>
      <c r="I126" s="8">
        <f t="shared" si="5"/>
        <v>13800</v>
      </c>
      <c r="J126" s="8">
        <f t="shared" si="6"/>
        <v>151840</v>
      </c>
      <c r="K126" s="8" t="str">
        <f t="shared" si="7"/>
        <v/>
      </c>
    </row>
    <row r="127" spans="2:11" hidden="1">
      <c r="B127" s="7">
        <v>41307</v>
      </c>
      <c r="C127" s="3" t="s">
        <v>38</v>
      </c>
      <c r="D127" s="6" t="s">
        <v>29</v>
      </c>
      <c r="E127" s="3" t="s">
        <v>12</v>
      </c>
      <c r="F127" s="5">
        <v>10</v>
      </c>
      <c r="G127" s="5">
        <v>6700</v>
      </c>
      <c r="H127" s="8">
        <f t="shared" si="4"/>
        <v>67000</v>
      </c>
      <c r="I127" s="8">
        <f t="shared" si="5"/>
        <v>6700</v>
      </c>
      <c r="J127" s="8" t="str">
        <f t="shared" si="6"/>
        <v/>
      </c>
      <c r="K127" s="8">
        <f t="shared" si="7"/>
        <v>73700</v>
      </c>
    </row>
    <row r="128" spans="2:11" hidden="1">
      <c r="B128" s="7">
        <v>41307</v>
      </c>
      <c r="C128" s="3" t="s">
        <v>38</v>
      </c>
      <c r="D128" s="6" t="s">
        <v>22</v>
      </c>
      <c r="E128" s="3" t="s">
        <v>12</v>
      </c>
      <c r="F128" s="5">
        <v>23</v>
      </c>
      <c r="G128" s="5">
        <v>9710</v>
      </c>
      <c r="H128" s="8">
        <f t="shared" si="4"/>
        <v>223330</v>
      </c>
      <c r="I128" s="8">
        <f t="shared" si="5"/>
        <v>22330</v>
      </c>
      <c r="J128" s="8" t="str">
        <f t="shared" si="6"/>
        <v/>
      </c>
      <c r="K128" s="8">
        <f t="shared" si="7"/>
        <v>245660</v>
      </c>
    </row>
    <row r="129" spans="2:11" hidden="1">
      <c r="B129" s="7">
        <v>41307</v>
      </c>
      <c r="C129" s="3" t="s">
        <v>41</v>
      </c>
      <c r="D129" s="6" t="s">
        <v>21</v>
      </c>
      <c r="E129" s="3" t="s">
        <v>0</v>
      </c>
      <c r="F129" s="5">
        <v>13</v>
      </c>
      <c r="G129" s="5">
        <v>1430</v>
      </c>
      <c r="H129" s="8">
        <f t="shared" si="4"/>
        <v>18590</v>
      </c>
      <c r="I129" s="8">
        <f t="shared" si="5"/>
        <v>1850</v>
      </c>
      <c r="J129" s="8">
        <f t="shared" si="6"/>
        <v>20440</v>
      </c>
      <c r="K129" s="8" t="str">
        <f t="shared" si="7"/>
        <v/>
      </c>
    </row>
    <row r="130" spans="2:11" hidden="1">
      <c r="B130" s="7">
        <v>41307</v>
      </c>
      <c r="C130" s="3" t="s">
        <v>45</v>
      </c>
      <c r="D130" s="6" t="s">
        <v>23</v>
      </c>
      <c r="E130" s="3" t="s">
        <v>0</v>
      </c>
      <c r="F130" s="5">
        <v>31</v>
      </c>
      <c r="G130" s="5">
        <v>3060</v>
      </c>
      <c r="H130" s="8">
        <f t="shared" si="4"/>
        <v>94860</v>
      </c>
      <c r="I130" s="8">
        <f t="shared" si="5"/>
        <v>9480</v>
      </c>
      <c r="J130" s="8">
        <f t="shared" si="6"/>
        <v>104340</v>
      </c>
      <c r="K130" s="8" t="str">
        <f t="shared" si="7"/>
        <v/>
      </c>
    </row>
    <row r="131" spans="2:11" hidden="1">
      <c r="B131" s="7">
        <v>41308</v>
      </c>
      <c r="C131" s="3" t="s">
        <v>37</v>
      </c>
      <c r="D131" s="6" t="s">
        <v>19</v>
      </c>
      <c r="E131" s="3" t="s">
        <v>12</v>
      </c>
      <c r="F131" s="5">
        <v>42</v>
      </c>
      <c r="G131" s="5">
        <v>9330</v>
      </c>
      <c r="H131" s="8">
        <f t="shared" si="4"/>
        <v>391860</v>
      </c>
      <c r="I131" s="8">
        <f t="shared" si="5"/>
        <v>39180</v>
      </c>
      <c r="J131" s="8" t="str">
        <f t="shared" si="6"/>
        <v/>
      </c>
      <c r="K131" s="8">
        <f t="shared" si="7"/>
        <v>431040</v>
      </c>
    </row>
    <row r="132" spans="2:11" hidden="1">
      <c r="B132" s="7">
        <v>41308</v>
      </c>
      <c r="C132" s="3" t="s">
        <v>37</v>
      </c>
      <c r="D132" s="6" t="s">
        <v>15</v>
      </c>
      <c r="E132" s="3" t="s">
        <v>0</v>
      </c>
      <c r="F132" s="5">
        <v>49</v>
      </c>
      <c r="G132" s="5">
        <v>3520</v>
      </c>
      <c r="H132" s="8">
        <f t="shared" si="4"/>
        <v>172480</v>
      </c>
      <c r="I132" s="8">
        <f t="shared" si="5"/>
        <v>17240</v>
      </c>
      <c r="J132" s="8">
        <f t="shared" si="6"/>
        <v>189720</v>
      </c>
      <c r="K132" s="8" t="str">
        <f t="shared" si="7"/>
        <v/>
      </c>
    </row>
    <row r="133" spans="2:11" hidden="1">
      <c r="B133" s="7">
        <v>41308</v>
      </c>
      <c r="C133" s="3" t="s">
        <v>37</v>
      </c>
      <c r="D133" s="6" t="s">
        <v>26</v>
      </c>
      <c r="E133" s="3" t="s">
        <v>0</v>
      </c>
      <c r="F133" s="5">
        <v>32</v>
      </c>
      <c r="G133" s="5">
        <v>5070</v>
      </c>
      <c r="H133" s="8">
        <f t="shared" si="4"/>
        <v>162240</v>
      </c>
      <c r="I133" s="8">
        <f t="shared" si="5"/>
        <v>16220</v>
      </c>
      <c r="J133" s="8">
        <f t="shared" si="6"/>
        <v>178460</v>
      </c>
      <c r="K133" s="8" t="str">
        <f t="shared" si="7"/>
        <v/>
      </c>
    </row>
    <row r="134" spans="2:11" hidden="1">
      <c r="B134" s="7">
        <v>41309</v>
      </c>
      <c r="C134" s="3" t="s">
        <v>39</v>
      </c>
      <c r="D134" s="6" t="s">
        <v>18</v>
      </c>
      <c r="E134" s="3" t="s">
        <v>12</v>
      </c>
      <c r="F134" s="5">
        <v>39</v>
      </c>
      <c r="G134" s="5">
        <v>10530</v>
      </c>
      <c r="H134" s="8">
        <f t="shared" si="4"/>
        <v>410670</v>
      </c>
      <c r="I134" s="8">
        <f t="shared" si="5"/>
        <v>41060</v>
      </c>
      <c r="J134" s="8" t="str">
        <f t="shared" si="6"/>
        <v/>
      </c>
      <c r="K134" s="8">
        <f t="shared" si="7"/>
        <v>451730</v>
      </c>
    </row>
    <row r="135" spans="2:11" hidden="1">
      <c r="B135" s="7">
        <v>41309</v>
      </c>
      <c r="C135" s="3" t="s">
        <v>41</v>
      </c>
      <c r="D135" s="6" t="s">
        <v>18</v>
      </c>
      <c r="E135" s="3" t="s">
        <v>0</v>
      </c>
      <c r="F135" s="5">
        <v>34</v>
      </c>
      <c r="G135" s="5">
        <v>1950</v>
      </c>
      <c r="H135" s="8">
        <f t="shared" si="4"/>
        <v>66300</v>
      </c>
      <c r="I135" s="8">
        <f t="shared" si="5"/>
        <v>6630</v>
      </c>
      <c r="J135" s="8">
        <f t="shared" si="6"/>
        <v>72930</v>
      </c>
      <c r="K135" s="8" t="str">
        <f t="shared" si="7"/>
        <v/>
      </c>
    </row>
    <row r="136" spans="2:11" hidden="1">
      <c r="B136" s="7">
        <v>41309</v>
      </c>
      <c r="C136" s="3" t="s">
        <v>43</v>
      </c>
      <c r="D136" s="6" t="s">
        <v>18</v>
      </c>
      <c r="E136" s="3" t="s">
        <v>0</v>
      </c>
      <c r="F136" s="5">
        <v>30</v>
      </c>
      <c r="G136" s="5">
        <v>5170</v>
      </c>
      <c r="H136" s="8">
        <f t="shared" si="4"/>
        <v>155100</v>
      </c>
      <c r="I136" s="8">
        <f t="shared" si="5"/>
        <v>15510</v>
      </c>
      <c r="J136" s="8">
        <f t="shared" si="6"/>
        <v>170610</v>
      </c>
      <c r="K136" s="8" t="str">
        <f t="shared" si="7"/>
        <v/>
      </c>
    </row>
    <row r="137" spans="2:11" hidden="1">
      <c r="B137" s="7">
        <v>41310</v>
      </c>
      <c r="C137" s="3" t="s">
        <v>42</v>
      </c>
      <c r="D137" s="6" t="s">
        <v>18</v>
      </c>
      <c r="E137" s="3" t="s">
        <v>12</v>
      </c>
      <c r="F137" s="5">
        <v>37</v>
      </c>
      <c r="G137" s="5">
        <v>9730</v>
      </c>
      <c r="H137" s="8">
        <f t="shared" si="4"/>
        <v>360010</v>
      </c>
      <c r="I137" s="8">
        <f t="shared" si="5"/>
        <v>36000</v>
      </c>
      <c r="J137" s="8" t="str">
        <f t="shared" si="6"/>
        <v/>
      </c>
      <c r="K137" s="8">
        <f t="shared" si="7"/>
        <v>396010</v>
      </c>
    </row>
    <row r="138" spans="2:11" hidden="1">
      <c r="B138" s="7">
        <v>41311</v>
      </c>
      <c r="C138" s="3" t="s">
        <v>43</v>
      </c>
      <c r="D138" s="6" t="s">
        <v>11</v>
      </c>
      <c r="E138" s="3" t="s">
        <v>0</v>
      </c>
      <c r="F138" s="5">
        <v>19</v>
      </c>
      <c r="G138" s="5">
        <v>3560</v>
      </c>
      <c r="H138" s="8">
        <f t="shared" si="4"/>
        <v>67640</v>
      </c>
      <c r="I138" s="8">
        <f t="shared" si="5"/>
        <v>6760</v>
      </c>
      <c r="J138" s="8">
        <f t="shared" si="6"/>
        <v>74400</v>
      </c>
      <c r="K138" s="8" t="str">
        <f t="shared" si="7"/>
        <v/>
      </c>
    </row>
    <row r="139" spans="2:11" hidden="1">
      <c r="B139" s="7">
        <v>41312</v>
      </c>
      <c r="C139" s="3" t="s">
        <v>40</v>
      </c>
      <c r="D139" s="6" t="s">
        <v>26</v>
      </c>
      <c r="E139" s="3" t="s">
        <v>12</v>
      </c>
      <c r="F139" s="5">
        <v>39</v>
      </c>
      <c r="G139" s="5">
        <v>7320</v>
      </c>
      <c r="H139" s="8">
        <f t="shared" si="4"/>
        <v>285480</v>
      </c>
      <c r="I139" s="8">
        <f t="shared" si="5"/>
        <v>28540</v>
      </c>
      <c r="J139" s="8" t="str">
        <f t="shared" si="6"/>
        <v/>
      </c>
      <c r="K139" s="8">
        <f t="shared" si="7"/>
        <v>314020</v>
      </c>
    </row>
    <row r="140" spans="2:11" hidden="1">
      <c r="B140" s="7">
        <v>41312</v>
      </c>
      <c r="C140" s="3" t="s">
        <v>38</v>
      </c>
      <c r="D140" s="6" t="s">
        <v>23</v>
      </c>
      <c r="E140" s="3" t="s">
        <v>0</v>
      </c>
      <c r="F140" s="5">
        <v>8</v>
      </c>
      <c r="G140" s="5">
        <v>3060</v>
      </c>
      <c r="H140" s="8">
        <f t="shared" si="4"/>
        <v>24480</v>
      </c>
      <c r="I140" s="8">
        <f t="shared" si="5"/>
        <v>2440</v>
      </c>
      <c r="J140" s="8">
        <f t="shared" si="6"/>
        <v>26920</v>
      </c>
      <c r="K140" s="8" t="str">
        <f t="shared" si="7"/>
        <v/>
      </c>
    </row>
    <row r="141" spans="2:11" hidden="1">
      <c r="B141" s="7">
        <v>41312</v>
      </c>
      <c r="C141" s="3" t="s">
        <v>37</v>
      </c>
      <c r="D141" s="6" t="s">
        <v>22</v>
      </c>
      <c r="E141" s="3" t="s">
        <v>0</v>
      </c>
      <c r="F141" s="5">
        <v>46</v>
      </c>
      <c r="G141" s="5">
        <v>3190</v>
      </c>
      <c r="H141" s="8">
        <f t="shared" ref="H141:H204" si="8">F141*G141</f>
        <v>146740</v>
      </c>
      <c r="I141" s="8">
        <f t="shared" ref="I141:I204" si="9">TRUNC(H141*10%,-1)</f>
        <v>14670</v>
      </c>
      <c r="J141" s="8">
        <f t="shared" ref="J141:J204" si="10">IF(E141="매입",H141+I141,"")</f>
        <v>161410</v>
      </c>
      <c r="K141" s="8" t="str">
        <f t="shared" ref="K141:K204" si="11">IF(E141="매출",H141+I141,"")</f>
        <v/>
      </c>
    </row>
    <row r="142" spans="2:11" hidden="1">
      <c r="B142" s="7">
        <v>41312</v>
      </c>
      <c r="C142" s="3" t="s">
        <v>40</v>
      </c>
      <c r="D142" s="6" t="s">
        <v>16</v>
      </c>
      <c r="E142" s="3" t="s">
        <v>0</v>
      </c>
      <c r="F142" s="5">
        <v>38</v>
      </c>
      <c r="G142" s="5">
        <v>5960</v>
      </c>
      <c r="H142" s="8">
        <f t="shared" si="8"/>
        <v>226480</v>
      </c>
      <c r="I142" s="8">
        <f t="shared" si="9"/>
        <v>22640</v>
      </c>
      <c r="J142" s="8">
        <f t="shared" si="10"/>
        <v>249120</v>
      </c>
      <c r="K142" s="8" t="str">
        <f t="shared" si="11"/>
        <v/>
      </c>
    </row>
    <row r="143" spans="2:11" hidden="1">
      <c r="B143" s="7">
        <v>41313</v>
      </c>
      <c r="C143" s="3" t="s">
        <v>41</v>
      </c>
      <c r="D143" s="6" t="s">
        <v>17</v>
      </c>
      <c r="E143" s="3" t="s">
        <v>1</v>
      </c>
      <c r="F143" s="5">
        <v>28</v>
      </c>
      <c r="G143" s="5">
        <v>23290</v>
      </c>
      <c r="H143" s="8">
        <f t="shared" si="8"/>
        <v>652120</v>
      </c>
      <c r="I143" s="8">
        <f t="shared" si="9"/>
        <v>65210</v>
      </c>
      <c r="J143" s="8">
        <f t="shared" si="10"/>
        <v>717330</v>
      </c>
      <c r="K143" s="8" t="str">
        <f t="shared" si="11"/>
        <v/>
      </c>
    </row>
    <row r="144" spans="2:11" hidden="1">
      <c r="B144" s="7">
        <v>41313</v>
      </c>
      <c r="C144" s="3" t="s">
        <v>37</v>
      </c>
      <c r="D144" s="6" t="s">
        <v>27</v>
      </c>
      <c r="E144" s="3" t="s">
        <v>0</v>
      </c>
      <c r="F144" s="5">
        <v>44</v>
      </c>
      <c r="G144" s="5">
        <v>3400</v>
      </c>
      <c r="H144" s="8">
        <f t="shared" si="8"/>
        <v>149600</v>
      </c>
      <c r="I144" s="8">
        <f t="shared" si="9"/>
        <v>14960</v>
      </c>
      <c r="J144" s="8">
        <f t="shared" si="10"/>
        <v>164560</v>
      </c>
      <c r="K144" s="8" t="str">
        <f t="shared" si="11"/>
        <v/>
      </c>
    </row>
    <row r="145" spans="2:11" hidden="1">
      <c r="B145" s="7">
        <v>41313</v>
      </c>
      <c r="C145" s="3" t="s">
        <v>36</v>
      </c>
      <c r="D145" s="6" t="s">
        <v>14</v>
      </c>
      <c r="E145" s="3" t="s">
        <v>0</v>
      </c>
      <c r="F145" s="5">
        <v>40</v>
      </c>
      <c r="G145" s="5">
        <v>2120</v>
      </c>
      <c r="H145" s="8">
        <f t="shared" si="8"/>
        <v>84800</v>
      </c>
      <c r="I145" s="8">
        <f t="shared" si="9"/>
        <v>8480</v>
      </c>
      <c r="J145" s="8">
        <f t="shared" si="10"/>
        <v>93280</v>
      </c>
      <c r="K145" s="8" t="str">
        <f t="shared" si="11"/>
        <v/>
      </c>
    </row>
    <row r="146" spans="2:11" hidden="1">
      <c r="B146" s="7">
        <v>41314</v>
      </c>
      <c r="C146" s="3" t="s">
        <v>42</v>
      </c>
      <c r="D146" s="6" t="s">
        <v>23</v>
      </c>
      <c r="E146" s="3" t="s">
        <v>12</v>
      </c>
      <c r="F146" s="5">
        <v>10</v>
      </c>
      <c r="G146" s="5">
        <v>5690</v>
      </c>
      <c r="H146" s="8">
        <f t="shared" si="8"/>
        <v>56900</v>
      </c>
      <c r="I146" s="8">
        <f t="shared" si="9"/>
        <v>5690</v>
      </c>
      <c r="J146" s="8" t="str">
        <f t="shared" si="10"/>
        <v/>
      </c>
      <c r="K146" s="8">
        <f t="shared" si="11"/>
        <v>62590</v>
      </c>
    </row>
    <row r="147" spans="2:11" hidden="1">
      <c r="B147" s="7">
        <v>41314</v>
      </c>
      <c r="C147" s="3" t="s">
        <v>36</v>
      </c>
      <c r="D147" s="6" t="s">
        <v>11</v>
      </c>
      <c r="E147" s="3" t="s">
        <v>12</v>
      </c>
      <c r="F147" s="5">
        <v>7</v>
      </c>
      <c r="G147" s="5">
        <v>6190</v>
      </c>
      <c r="H147" s="8">
        <f t="shared" si="8"/>
        <v>43330</v>
      </c>
      <c r="I147" s="8">
        <f t="shared" si="9"/>
        <v>4330</v>
      </c>
      <c r="J147" s="8" t="str">
        <f t="shared" si="10"/>
        <v/>
      </c>
      <c r="K147" s="8">
        <f t="shared" si="11"/>
        <v>47660</v>
      </c>
    </row>
    <row r="148" spans="2:11" hidden="1">
      <c r="B148" s="7">
        <v>41314</v>
      </c>
      <c r="C148" s="3" t="s">
        <v>38</v>
      </c>
      <c r="D148" s="6" t="s">
        <v>15</v>
      </c>
      <c r="E148" s="3" t="s">
        <v>0</v>
      </c>
      <c r="F148" s="5">
        <v>31</v>
      </c>
      <c r="G148" s="5">
        <v>1550</v>
      </c>
      <c r="H148" s="8">
        <f t="shared" si="8"/>
        <v>48050</v>
      </c>
      <c r="I148" s="8">
        <f t="shared" si="9"/>
        <v>4800</v>
      </c>
      <c r="J148" s="8">
        <f t="shared" si="10"/>
        <v>52850</v>
      </c>
      <c r="K148" s="8" t="str">
        <f t="shared" si="11"/>
        <v/>
      </c>
    </row>
    <row r="149" spans="2:11" hidden="1">
      <c r="B149" s="7">
        <v>41314</v>
      </c>
      <c r="C149" s="3" t="s">
        <v>45</v>
      </c>
      <c r="D149" s="6" t="s">
        <v>28</v>
      </c>
      <c r="E149" s="3" t="s">
        <v>0</v>
      </c>
      <c r="F149" s="5">
        <v>33</v>
      </c>
      <c r="G149" s="5">
        <v>2240</v>
      </c>
      <c r="H149" s="8">
        <f t="shared" si="8"/>
        <v>73920</v>
      </c>
      <c r="I149" s="8">
        <f t="shared" si="9"/>
        <v>7390</v>
      </c>
      <c r="J149" s="8">
        <f t="shared" si="10"/>
        <v>81310</v>
      </c>
      <c r="K149" s="8" t="str">
        <f t="shared" si="11"/>
        <v/>
      </c>
    </row>
    <row r="150" spans="2:11" hidden="1">
      <c r="B150" s="7">
        <v>41314</v>
      </c>
      <c r="C150" s="3" t="s">
        <v>40</v>
      </c>
      <c r="D150" s="6" t="s">
        <v>15</v>
      </c>
      <c r="E150" s="3" t="s">
        <v>0</v>
      </c>
      <c r="F150" s="5">
        <v>31</v>
      </c>
      <c r="G150" s="5">
        <v>3940</v>
      </c>
      <c r="H150" s="8">
        <f t="shared" si="8"/>
        <v>122140</v>
      </c>
      <c r="I150" s="8">
        <f t="shared" si="9"/>
        <v>12210</v>
      </c>
      <c r="J150" s="8">
        <f t="shared" si="10"/>
        <v>134350</v>
      </c>
      <c r="K150" s="8" t="str">
        <f t="shared" si="11"/>
        <v/>
      </c>
    </row>
    <row r="151" spans="2:11" hidden="1">
      <c r="B151" s="7">
        <v>41315</v>
      </c>
      <c r="C151" s="3" t="s">
        <v>41</v>
      </c>
      <c r="D151" s="6" t="s">
        <v>26</v>
      </c>
      <c r="E151" s="3" t="s">
        <v>12</v>
      </c>
      <c r="F151" s="5">
        <v>21</v>
      </c>
      <c r="G151" s="5">
        <v>5690</v>
      </c>
      <c r="H151" s="8">
        <f t="shared" si="8"/>
        <v>119490</v>
      </c>
      <c r="I151" s="8">
        <f t="shared" si="9"/>
        <v>11940</v>
      </c>
      <c r="J151" s="8" t="str">
        <f t="shared" si="10"/>
        <v/>
      </c>
      <c r="K151" s="8">
        <f t="shared" si="11"/>
        <v>131430</v>
      </c>
    </row>
    <row r="152" spans="2:11" hidden="1">
      <c r="B152" s="7">
        <v>41315</v>
      </c>
      <c r="C152" s="3" t="s">
        <v>42</v>
      </c>
      <c r="D152" s="6" t="s">
        <v>27</v>
      </c>
      <c r="E152" s="3" t="s">
        <v>0</v>
      </c>
      <c r="F152" s="5">
        <v>20</v>
      </c>
      <c r="G152" s="5">
        <v>2560</v>
      </c>
      <c r="H152" s="8">
        <f t="shared" si="8"/>
        <v>51200</v>
      </c>
      <c r="I152" s="8">
        <f t="shared" si="9"/>
        <v>5120</v>
      </c>
      <c r="J152" s="8">
        <f t="shared" si="10"/>
        <v>56320</v>
      </c>
      <c r="K152" s="8" t="str">
        <f t="shared" si="11"/>
        <v/>
      </c>
    </row>
    <row r="153" spans="2:11" hidden="1">
      <c r="B153" s="7">
        <v>41316</v>
      </c>
      <c r="C153" s="3" t="s">
        <v>40</v>
      </c>
      <c r="D153" s="6" t="s">
        <v>22</v>
      </c>
      <c r="E153" s="3" t="s">
        <v>1</v>
      </c>
      <c r="F153" s="5">
        <v>22</v>
      </c>
      <c r="G153" s="5">
        <v>6190</v>
      </c>
      <c r="H153" s="8">
        <f t="shared" si="8"/>
        <v>136180</v>
      </c>
      <c r="I153" s="8">
        <f t="shared" si="9"/>
        <v>13610</v>
      </c>
      <c r="J153" s="8">
        <f t="shared" si="10"/>
        <v>149790</v>
      </c>
      <c r="K153" s="8" t="str">
        <f t="shared" si="11"/>
        <v/>
      </c>
    </row>
    <row r="154" spans="2:11" hidden="1">
      <c r="B154" s="7">
        <v>41316</v>
      </c>
      <c r="C154" s="3" t="s">
        <v>38</v>
      </c>
      <c r="D154" s="6" t="s">
        <v>19</v>
      </c>
      <c r="E154" s="3" t="s">
        <v>12</v>
      </c>
      <c r="F154" s="5">
        <v>14</v>
      </c>
      <c r="G154" s="5">
        <v>6950</v>
      </c>
      <c r="H154" s="8">
        <f t="shared" si="8"/>
        <v>97300</v>
      </c>
      <c r="I154" s="8">
        <f t="shared" si="9"/>
        <v>9730</v>
      </c>
      <c r="J154" s="8" t="str">
        <f t="shared" si="10"/>
        <v/>
      </c>
      <c r="K154" s="8">
        <f t="shared" si="11"/>
        <v>107030</v>
      </c>
    </row>
    <row r="155" spans="2:11" hidden="1">
      <c r="B155" s="7">
        <v>41316</v>
      </c>
      <c r="C155" s="3" t="s">
        <v>45</v>
      </c>
      <c r="D155" s="6" t="s">
        <v>22</v>
      </c>
      <c r="E155" s="3" t="s">
        <v>0</v>
      </c>
      <c r="F155" s="5">
        <v>46</v>
      </c>
      <c r="G155" s="5">
        <v>1930</v>
      </c>
      <c r="H155" s="8">
        <f t="shared" si="8"/>
        <v>88780</v>
      </c>
      <c r="I155" s="8">
        <f t="shared" si="9"/>
        <v>8870</v>
      </c>
      <c r="J155" s="8">
        <f t="shared" si="10"/>
        <v>97650</v>
      </c>
      <c r="K155" s="8" t="str">
        <f t="shared" si="11"/>
        <v/>
      </c>
    </row>
    <row r="156" spans="2:11" hidden="1">
      <c r="B156" s="7">
        <v>41316</v>
      </c>
      <c r="C156" s="3" t="s">
        <v>39</v>
      </c>
      <c r="D156" s="6" t="s">
        <v>25</v>
      </c>
      <c r="E156" s="3" t="s">
        <v>0</v>
      </c>
      <c r="F156" s="5">
        <v>23</v>
      </c>
      <c r="G156" s="5">
        <v>6250</v>
      </c>
      <c r="H156" s="8">
        <f t="shared" si="8"/>
        <v>143750</v>
      </c>
      <c r="I156" s="8">
        <f t="shared" si="9"/>
        <v>14370</v>
      </c>
      <c r="J156" s="8">
        <f t="shared" si="10"/>
        <v>158120</v>
      </c>
      <c r="K156" s="8" t="str">
        <f t="shared" si="11"/>
        <v/>
      </c>
    </row>
    <row r="157" spans="2:11" hidden="1">
      <c r="B157" s="7">
        <v>41317</v>
      </c>
      <c r="C157" s="3" t="s">
        <v>40</v>
      </c>
      <c r="D157" s="6" t="s">
        <v>14</v>
      </c>
      <c r="E157" s="3" t="s">
        <v>12</v>
      </c>
      <c r="F157" s="5">
        <v>5</v>
      </c>
      <c r="G157" s="5">
        <v>3380</v>
      </c>
      <c r="H157" s="8">
        <f t="shared" si="8"/>
        <v>16900</v>
      </c>
      <c r="I157" s="8">
        <f t="shared" si="9"/>
        <v>1690</v>
      </c>
      <c r="J157" s="8" t="str">
        <f t="shared" si="10"/>
        <v/>
      </c>
      <c r="K157" s="8">
        <f t="shared" si="11"/>
        <v>18590</v>
      </c>
    </row>
    <row r="158" spans="2:11" hidden="1">
      <c r="B158" s="7">
        <v>41317</v>
      </c>
      <c r="C158" s="3" t="s">
        <v>40</v>
      </c>
      <c r="D158" s="6" t="s">
        <v>22</v>
      </c>
      <c r="E158" s="3" t="s">
        <v>12</v>
      </c>
      <c r="F158" s="5">
        <v>25</v>
      </c>
      <c r="G158" s="5">
        <v>7320</v>
      </c>
      <c r="H158" s="8">
        <f t="shared" si="8"/>
        <v>183000</v>
      </c>
      <c r="I158" s="8">
        <f t="shared" si="9"/>
        <v>18300</v>
      </c>
      <c r="J158" s="8" t="str">
        <f t="shared" si="10"/>
        <v/>
      </c>
      <c r="K158" s="8">
        <f t="shared" si="11"/>
        <v>201300</v>
      </c>
    </row>
    <row r="159" spans="2:11" hidden="1">
      <c r="B159" s="7">
        <v>41317</v>
      </c>
      <c r="C159" s="3" t="s">
        <v>41</v>
      </c>
      <c r="D159" s="6" t="s">
        <v>27</v>
      </c>
      <c r="E159" s="3" t="s">
        <v>12</v>
      </c>
      <c r="F159" s="5">
        <v>18</v>
      </c>
      <c r="G159" s="5">
        <v>9830</v>
      </c>
      <c r="H159" s="8">
        <f t="shared" si="8"/>
        <v>176940</v>
      </c>
      <c r="I159" s="8">
        <f t="shared" si="9"/>
        <v>17690</v>
      </c>
      <c r="J159" s="8" t="str">
        <f t="shared" si="10"/>
        <v/>
      </c>
      <c r="K159" s="8">
        <f t="shared" si="11"/>
        <v>194630</v>
      </c>
    </row>
    <row r="160" spans="2:11" hidden="1">
      <c r="B160" s="7">
        <v>41317</v>
      </c>
      <c r="C160" s="3" t="s">
        <v>40</v>
      </c>
      <c r="D160" s="6" t="s">
        <v>27</v>
      </c>
      <c r="E160" s="3" t="s">
        <v>0</v>
      </c>
      <c r="F160" s="5">
        <v>19</v>
      </c>
      <c r="G160" s="5">
        <v>1550</v>
      </c>
      <c r="H160" s="8">
        <f t="shared" si="8"/>
        <v>29450</v>
      </c>
      <c r="I160" s="8">
        <f t="shared" si="9"/>
        <v>2940</v>
      </c>
      <c r="J160" s="8">
        <f t="shared" si="10"/>
        <v>32390</v>
      </c>
      <c r="K160" s="8" t="str">
        <f t="shared" si="11"/>
        <v/>
      </c>
    </row>
    <row r="161" spans="2:11" hidden="1">
      <c r="B161" s="7">
        <v>41318</v>
      </c>
      <c r="C161" s="3" t="s">
        <v>44</v>
      </c>
      <c r="D161" s="6" t="s">
        <v>14</v>
      </c>
      <c r="E161" s="3" t="s">
        <v>12</v>
      </c>
      <c r="F161" s="5">
        <v>5</v>
      </c>
      <c r="G161" s="5">
        <v>3090</v>
      </c>
      <c r="H161" s="8">
        <f t="shared" si="8"/>
        <v>15450</v>
      </c>
      <c r="I161" s="8">
        <f t="shared" si="9"/>
        <v>1540</v>
      </c>
      <c r="J161" s="8" t="str">
        <f t="shared" si="10"/>
        <v/>
      </c>
      <c r="K161" s="8">
        <f t="shared" si="11"/>
        <v>16990</v>
      </c>
    </row>
    <row r="162" spans="2:11" hidden="1">
      <c r="B162" s="7">
        <v>41318</v>
      </c>
      <c r="C162" s="3" t="s">
        <v>39</v>
      </c>
      <c r="D162" s="6" t="s">
        <v>24</v>
      </c>
      <c r="E162" s="3" t="s">
        <v>12</v>
      </c>
      <c r="F162" s="5">
        <v>12</v>
      </c>
      <c r="G162" s="5">
        <v>8580</v>
      </c>
      <c r="H162" s="8">
        <f t="shared" si="8"/>
        <v>102960</v>
      </c>
      <c r="I162" s="8">
        <f t="shared" si="9"/>
        <v>10290</v>
      </c>
      <c r="J162" s="8" t="str">
        <f t="shared" si="10"/>
        <v/>
      </c>
      <c r="K162" s="8">
        <f t="shared" si="11"/>
        <v>113250</v>
      </c>
    </row>
    <row r="163" spans="2:11" hidden="1">
      <c r="B163" s="7">
        <v>41318</v>
      </c>
      <c r="C163" s="3" t="s">
        <v>38</v>
      </c>
      <c r="D163" s="6" t="s">
        <v>11</v>
      </c>
      <c r="E163" s="3" t="s">
        <v>12</v>
      </c>
      <c r="F163" s="5">
        <v>28</v>
      </c>
      <c r="G163" s="5">
        <v>9080</v>
      </c>
      <c r="H163" s="8">
        <f t="shared" si="8"/>
        <v>254240</v>
      </c>
      <c r="I163" s="8">
        <f t="shared" si="9"/>
        <v>25420</v>
      </c>
      <c r="J163" s="8" t="str">
        <f t="shared" si="10"/>
        <v/>
      </c>
      <c r="K163" s="8">
        <f t="shared" si="11"/>
        <v>279660</v>
      </c>
    </row>
    <row r="164" spans="2:11" hidden="1">
      <c r="B164" s="7">
        <v>41318</v>
      </c>
      <c r="C164" s="3" t="s">
        <v>44</v>
      </c>
      <c r="D164" s="6" t="s">
        <v>21</v>
      </c>
      <c r="E164" s="3" t="s">
        <v>12</v>
      </c>
      <c r="F164" s="5">
        <v>25</v>
      </c>
      <c r="G164" s="5">
        <v>9710</v>
      </c>
      <c r="H164" s="8">
        <f t="shared" si="8"/>
        <v>242750</v>
      </c>
      <c r="I164" s="8">
        <f t="shared" si="9"/>
        <v>24270</v>
      </c>
      <c r="J164" s="8" t="str">
        <f t="shared" si="10"/>
        <v/>
      </c>
      <c r="K164" s="8">
        <f t="shared" si="11"/>
        <v>267020</v>
      </c>
    </row>
    <row r="165" spans="2:11" hidden="1">
      <c r="B165" s="7">
        <v>41319</v>
      </c>
      <c r="C165" s="3" t="s">
        <v>37</v>
      </c>
      <c r="D165" s="6" t="s">
        <v>20</v>
      </c>
      <c r="E165" s="3" t="s">
        <v>12</v>
      </c>
      <c r="F165" s="5">
        <v>13</v>
      </c>
      <c r="G165" s="5">
        <v>7980</v>
      </c>
      <c r="H165" s="8">
        <f t="shared" si="8"/>
        <v>103740</v>
      </c>
      <c r="I165" s="8">
        <f t="shared" si="9"/>
        <v>10370</v>
      </c>
      <c r="J165" s="8" t="str">
        <f t="shared" si="10"/>
        <v/>
      </c>
      <c r="K165" s="8">
        <f t="shared" si="11"/>
        <v>114110</v>
      </c>
    </row>
    <row r="166" spans="2:11" hidden="1">
      <c r="B166" s="7">
        <v>41319</v>
      </c>
      <c r="C166" s="3" t="s">
        <v>39</v>
      </c>
      <c r="D166" s="6" t="s">
        <v>22</v>
      </c>
      <c r="E166" s="3" t="s">
        <v>0</v>
      </c>
      <c r="F166" s="5">
        <v>28</v>
      </c>
      <c r="G166" s="5">
        <v>1810</v>
      </c>
      <c r="H166" s="8">
        <f t="shared" si="8"/>
        <v>50680</v>
      </c>
      <c r="I166" s="8">
        <f t="shared" si="9"/>
        <v>5060</v>
      </c>
      <c r="J166" s="8">
        <f t="shared" si="10"/>
        <v>55740</v>
      </c>
      <c r="K166" s="8" t="str">
        <f t="shared" si="11"/>
        <v/>
      </c>
    </row>
    <row r="167" spans="2:11" hidden="1">
      <c r="B167" s="7">
        <v>41320</v>
      </c>
      <c r="C167" s="3" t="s">
        <v>37</v>
      </c>
      <c r="D167" s="6" t="s">
        <v>24</v>
      </c>
      <c r="E167" s="3" t="s">
        <v>12</v>
      </c>
      <c r="F167" s="5">
        <v>22</v>
      </c>
      <c r="G167" s="5">
        <v>9080</v>
      </c>
      <c r="H167" s="8">
        <f t="shared" si="8"/>
        <v>199760</v>
      </c>
      <c r="I167" s="8">
        <f t="shared" si="9"/>
        <v>19970</v>
      </c>
      <c r="J167" s="8" t="str">
        <f t="shared" si="10"/>
        <v/>
      </c>
      <c r="K167" s="8">
        <f t="shared" si="11"/>
        <v>219730</v>
      </c>
    </row>
    <row r="168" spans="2:11" hidden="1">
      <c r="B168" s="7">
        <v>41320</v>
      </c>
      <c r="C168" s="3" t="s">
        <v>44</v>
      </c>
      <c r="D168" s="6" t="s">
        <v>27</v>
      </c>
      <c r="E168" s="3" t="s">
        <v>0</v>
      </c>
      <c r="F168" s="5">
        <v>17</v>
      </c>
      <c r="G168" s="5">
        <v>2060</v>
      </c>
      <c r="H168" s="8">
        <f t="shared" si="8"/>
        <v>35020</v>
      </c>
      <c r="I168" s="8">
        <f t="shared" si="9"/>
        <v>3500</v>
      </c>
      <c r="J168" s="8">
        <f t="shared" si="10"/>
        <v>38520</v>
      </c>
      <c r="K168" s="8" t="str">
        <f t="shared" si="11"/>
        <v/>
      </c>
    </row>
    <row r="169" spans="2:11" hidden="1">
      <c r="B169" s="7">
        <v>41320</v>
      </c>
      <c r="C169" s="3" t="s">
        <v>44</v>
      </c>
      <c r="D169" s="6" t="s">
        <v>29</v>
      </c>
      <c r="E169" s="3" t="s">
        <v>0</v>
      </c>
      <c r="F169" s="5">
        <v>42</v>
      </c>
      <c r="G169" s="5">
        <v>3810</v>
      </c>
      <c r="H169" s="8">
        <f t="shared" si="8"/>
        <v>160020</v>
      </c>
      <c r="I169" s="8">
        <f t="shared" si="9"/>
        <v>16000</v>
      </c>
      <c r="J169" s="8">
        <f t="shared" si="10"/>
        <v>176020</v>
      </c>
      <c r="K169" s="8" t="str">
        <f t="shared" si="11"/>
        <v/>
      </c>
    </row>
    <row r="170" spans="2:11" hidden="1">
      <c r="B170" s="7">
        <v>41321</v>
      </c>
      <c r="C170" s="3" t="s">
        <v>41</v>
      </c>
      <c r="D170" s="6" t="s">
        <v>29</v>
      </c>
      <c r="E170" s="3" t="s">
        <v>12</v>
      </c>
      <c r="F170" s="5">
        <v>13</v>
      </c>
      <c r="G170" s="5">
        <v>6450</v>
      </c>
      <c r="H170" s="8">
        <f t="shared" si="8"/>
        <v>83850</v>
      </c>
      <c r="I170" s="8">
        <f t="shared" si="9"/>
        <v>8380</v>
      </c>
      <c r="J170" s="8" t="str">
        <f t="shared" si="10"/>
        <v/>
      </c>
      <c r="K170" s="8">
        <f t="shared" si="11"/>
        <v>92230</v>
      </c>
    </row>
    <row r="171" spans="2:11" hidden="1">
      <c r="B171" s="7">
        <v>41321</v>
      </c>
      <c r="C171" s="3" t="s">
        <v>41</v>
      </c>
      <c r="D171" s="6" t="s">
        <v>25</v>
      </c>
      <c r="E171" s="3" t="s">
        <v>12</v>
      </c>
      <c r="F171" s="5">
        <v>33</v>
      </c>
      <c r="G171" s="5">
        <v>12640</v>
      </c>
      <c r="H171" s="8">
        <f t="shared" si="8"/>
        <v>417120</v>
      </c>
      <c r="I171" s="8">
        <f t="shared" si="9"/>
        <v>41710</v>
      </c>
      <c r="J171" s="8" t="str">
        <f t="shared" si="10"/>
        <v/>
      </c>
      <c r="K171" s="8">
        <f t="shared" si="11"/>
        <v>458830</v>
      </c>
    </row>
    <row r="172" spans="2:11" hidden="1">
      <c r="B172" s="7">
        <v>41322</v>
      </c>
      <c r="C172" s="3" t="s">
        <v>37</v>
      </c>
      <c r="D172" s="6" t="s">
        <v>14</v>
      </c>
      <c r="E172" s="3" t="s">
        <v>12</v>
      </c>
      <c r="F172" s="5">
        <v>35</v>
      </c>
      <c r="G172" s="5">
        <v>5520</v>
      </c>
      <c r="H172" s="8">
        <f t="shared" si="8"/>
        <v>193200</v>
      </c>
      <c r="I172" s="8">
        <f t="shared" si="9"/>
        <v>19320</v>
      </c>
      <c r="J172" s="8" t="str">
        <f t="shared" si="10"/>
        <v/>
      </c>
      <c r="K172" s="8">
        <f t="shared" si="11"/>
        <v>212520</v>
      </c>
    </row>
    <row r="173" spans="2:11" hidden="1">
      <c r="B173" s="7">
        <v>41322</v>
      </c>
      <c r="C173" s="3" t="s">
        <v>39</v>
      </c>
      <c r="D173" s="6" t="s">
        <v>22</v>
      </c>
      <c r="E173" s="3" t="s">
        <v>12</v>
      </c>
      <c r="F173" s="5">
        <v>35</v>
      </c>
      <c r="G173" s="5">
        <v>6700</v>
      </c>
      <c r="H173" s="8">
        <f t="shared" si="8"/>
        <v>234500</v>
      </c>
      <c r="I173" s="8">
        <f t="shared" si="9"/>
        <v>23450</v>
      </c>
      <c r="J173" s="8" t="str">
        <f t="shared" si="10"/>
        <v/>
      </c>
      <c r="K173" s="8">
        <f t="shared" si="11"/>
        <v>257950</v>
      </c>
    </row>
    <row r="174" spans="2:11" hidden="1">
      <c r="B174" s="7">
        <v>41322</v>
      </c>
      <c r="C174" s="3" t="s">
        <v>38</v>
      </c>
      <c r="D174" s="6" t="s">
        <v>18</v>
      </c>
      <c r="E174" s="3" t="s">
        <v>12</v>
      </c>
      <c r="F174" s="5">
        <v>17</v>
      </c>
      <c r="G174" s="5">
        <v>7450</v>
      </c>
      <c r="H174" s="8">
        <f t="shared" si="8"/>
        <v>126650</v>
      </c>
      <c r="I174" s="8">
        <f t="shared" si="9"/>
        <v>12660</v>
      </c>
      <c r="J174" s="8" t="str">
        <f t="shared" si="10"/>
        <v/>
      </c>
      <c r="K174" s="8">
        <f t="shared" si="11"/>
        <v>139310</v>
      </c>
    </row>
    <row r="175" spans="2:11" hidden="1">
      <c r="B175" s="7">
        <v>41322</v>
      </c>
      <c r="C175" s="3" t="s">
        <v>42</v>
      </c>
      <c r="D175" s="6" t="s">
        <v>11</v>
      </c>
      <c r="E175" s="3" t="s">
        <v>12</v>
      </c>
      <c r="F175" s="5">
        <v>12</v>
      </c>
      <c r="G175" s="5">
        <v>8580</v>
      </c>
      <c r="H175" s="8">
        <f t="shared" si="8"/>
        <v>102960</v>
      </c>
      <c r="I175" s="8">
        <f t="shared" si="9"/>
        <v>10290</v>
      </c>
      <c r="J175" s="8" t="str">
        <f t="shared" si="10"/>
        <v/>
      </c>
      <c r="K175" s="8">
        <f t="shared" si="11"/>
        <v>113250</v>
      </c>
    </row>
    <row r="176" spans="2:11" hidden="1">
      <c r="B176" s="7">
        <v>41322</v>
      </c>
      <c r="C176" s="3" t="s">
        <v>44</v>
      </c>
      <c r="D176" s="6" t="s">
        <v>26</v>
      </c>
      <c r="E176" s="3" t="s">
        <v>12</v>
      </c>
      <c r="F176" s="5">
        <v>45</v>
      </c>
      <c r="G176" s="5">
        <v>8950</v>
      </c>
      <c r="H176" s="8">
        <f t="shared" si="8"/>
        <v>402750</v>
      </c>
      <c r="I176" s="8">
        <f t="shared" si="9"/>
        <v>40270</v>
      </c>
      <c r="J176" s="8" t="str">
        <f t="shared" si="10"/>
        <v/>
      </c>
      <c r="K176" s="8">
        <f t="shared" si="11"/>
        <v>443020</v>
      </c>
    </row>
    <row r="177" spans="2:11" hidden="1">
      <c r="B177" s="7">
        <v>41322</v>
      </c>
      <c r="C177" s="3" t="s">
        <v>42</v>
      </c>
      <c r="D177" s="6" t="s">
        <v>22</v>
      </c>
      <c r="E177" s="3" t="s">
        <v>1</v>
      </c>
      <c r="F177" s="5">
        <v>43</v>
      </c>
      <c r="G177" s="5">
        <v>9710</v>
      </c>
      <c r="H177" s="8">
        <f t="shared" si="8"/>
        <v>417530</v>
      </c>
      <c r="I177" s="8">
        <f t="shared" si="9"/>
        <v>41750</v>
      </c>
      <c r="J177" s="8">
        <f t="shared" si="10"/>
        <v>459280</v>
      </c>
      <c r="K177" s="8" t="str">
        <f t="shared" si="11"/>
        <v/>
      </c>
    </row>
    <row r="178" spans="2:11" hidden="1">
      <c r="B178" s="7">
        <v>41322</v>
      </c>
      <c r="C178" s="3" t="s">
        <v>37</v>
      </c>
      <c r="D178" s="6" t="s">
        <v>19</v>
      </c>
      <c r="E178" s="3" t="s">
        <v>12</v>
      </c>
      <c r="F178" s="5">
        <v>22</v>
      </c>
      <c r="G178" s="5">
        <v>9960</v>
      </c>
      <c r="H178" s="8">
        <f t="shared" si="8"/>
        <v>219120</v>
      </c>
      <c r="I178" s="8">
        <f t="shared" si="9"/>
        <v>21910</v>
      </c>
      <c r="J178" s="8" t="str">
        <f t="shared" si="10"/>
        <v/>
      </c>
      <c r="K178" s="8">
        <f t="shared" si="11"/>
        <v>241030</v>
      </c>
    </row>
    <row r="179" spans="2:11" hidden="1">
      <c r="B179" s="7">
        <v>41322</v>
      </c>
      <c r="C179" s="3" t="s">
        <v>45</v>
      </c>
      <c r="D179" s="6" t="s">
        <v>27</v>
      </c>
      <c r="E179" s="3" t="s">
        <v>0</v>
      </c>
      <c r="F179" s="5">
        <v>25</v>
      </c>
      <c r="G179" s="5">
        <v>1810</v>
      </c>
      <c r="H179" s="8">
        <f t="shared" si="8"/>
        <v>45250</v>
      </c>
      <c r="I179" s="8">
        <f t="shared" si="9"/>
        <v>4520</v>
      </c>
      <c r="J179" s="8">
        <f t="shared" si="10"/>
        <v>49770</v>
      </c>
      <c r="K179" s="8" t="str">
        <f t="shared" si="11"/>
        <v/>
      </c>
    </row>
    <row r="180" spans="2:11" hidden="1">
      <c r="B180" s="7">
        <v>41322</v>
      </c>
      <c r="C180" s="3" t="s">
        <v>37</v>
      </c>
      <c r="D180" s="6" t="s">
        <v>13</v>
      </c>
      <c r="E180" s="3" t="s">
        <v>0</v>
      </c>
      <c r="F180" s="5">
        <v>44</v>
      </c>
      <c r="G180" s="5">
        <v>4100</v>
      </c>
      <c r="H180" s="8">
        <f t="shared" si="8"/>
        <v>180400</v>
      </c>
      <c r="I180" s="8">
        <f t="shared" si="9"/>
        <v>18040</v>
      </c>
      <c r="J180" s="8">
        <f t="shared" si="10"/>
        <v>198440</v>
      </c>
      <c r="K180" s="8" t="str">
        <f t="shared" si="11"/>
        <v/>
      </c>
    </row>
    <row r="181" spans="2:11" hidden="1">
      <c r="B181" s="7">
        <v>41323</v>
      </c>
      <c r="C181" s="3" t="s">
        <v>36</v>
      </c>
      <c r="D181" s="6" t="s">
        <v>24</v>
      </c>
      <c r="E181" s="3" t="s">
        <v>12</v>
      </c>
      <c r="F181" s="5">
        <v>25</v>
      </c>
      <c r="G181" s="5">
        <v>5940</v>
      </c>
      <c r="H181" s="8">
        <f t="shared" si="8"/>
        <v>148500</v>
      </c>
      <c r="I181" s="8">
        <f t="shared" si="9"/>
        <v>14850</v>
      </c>
      <c r="J181" s="8" t="str">
        <f t="shared" si="10"/>
        <v/>
      </c>
      <c r="K181" s="8">
        <f t="shared" si="11"/>
        <v>163350</v>
      </c>
    </row>
    <row r="182" spans="2:11" hidden="1">
      <c r="B182" s="7">
        <v>41323</v>
      </c>
      <c r="C182" s="3" t="s">
        <v>37</v>
      </c>
      <c r="D182" s="6" t="s">
        <v>18</v>
      </c>
      <c r="E182" s="3" t="s">
        <v>12</v>
      </c>
      <c r="F182" s="5">
        <v>33</v>
      </c>
      <c r="G182" s="5">
        <v>10130</v>
      </c>
      <c r="H182" s="8">
        <f t="shared" si="8"/>
        <v>334290</v>
      </c>
      <c r="I182" s="8">
        <f t="shared" si="9"/>
        <v>33420</v>
      </c>
      <c r="J182" s="8" t="str">
        <f t="shared" si="10"/>
        <v/>
      </c>
      <c r="K182" s="8">
        <f t="shared" si="11"/>
        <v>367710</v>
      </c>
    </row>
    <row r="183" spans="2:11" hidden="1">
      <c r="B183" s="7">
        <v>41323</v>
      </c>
      <c r="C183" s="3" t="s">
        <v>37</v>
      </c>
      <c r="D183" s="6" t="s">
        <v>11</v>
      </c>
      <c r="E183" s="3" t="s">
        <v>0</v>
      </c>
      <c r="F183" s="5">
        <v>33</v>
      </c>
      <c r="G183" s="5">
        <v>3690</v>
      </c>
      <c r="H183" s="8">
        <f t="shared" si="8"/>
        <v>121770</v>
      </c>
      <c r="I183" s="8">
        <f t="shared" si="9"/>
        <v>12170</v>
      </c>
      <c r="J183" s="8">
        <f t="shared" si="10"/>
        <v>133940</v>
      </c>
      <c r="K183" s="8" t="str">
        <f t="shared" si="11"/>
        <v/>
      </c>
    </row>
    <row r="184" spans="2:11" hidden="1">
      <c r="B184" s="7">
        <v>41324</v>
      </c>
      <c r="C184" s="3" t="s">
        <v>45</v>
      </c>
      <c r="D184" s="6" t="s">
        <v>17</v>
      </c>
      <c r="E184" s="3" t="s">
        <v>12</v>
      </c>
      <c r="F184" s="5">
        <v>12</v>
      </c>
      <c r="G184" s="5">
        <v>21420</v>
      </c>
      <c r="H184" s="8">
        <f t="shared" si="8"/>
        <v>257040</v>
      </c>
      <c r="I184" s="8">
        <f t="shared" si="9"/>
        <v>25700</v>
      </c>
      <c r="J184" s="8" t="str">
        <f t="shared" si="10"/>
        <v/>
      </c>
      <c r="K184" s="8">
        <f t="shared" si="11"/>
        <v>282740</v>
      </c>
    </row>
    <row r="185" spans="2:11" hidden="1">
      <c r="B185" s="7">
        <v>41324</v>
      </c>
      <c r="C185" s="3" t="s">
        <v>36</v>
      </c>
      <c r="D185" s="6" t="s">
        <v>15</v>
      </c>
      <c r="E185" s="3" t="s">
        <v>0</v>
      </c>
      <c r="F185" s="5">
        <v>38</v>
      </c>
      <c r="G185" s="5">
        <v>4020</v>
      </c>
      <c r="H185" s="8">
        <f t="shared" si="8"/>
        <v>152760</v>
      </c>
      <c r="I185" s="8">
        <f t="shared" si="9"/>
        <v>15270</v>
      </c>
      <c r="J185" s="8">
        <f t="shared" si="10"/>
        <v>168030</v>
      </c>
      <c r="K185" s="8" t="str">
        <f t="shared" si="11"/>
        <v/>
      </c>
    </row>
    <row r="186" spans="2:11" hidden="1">
      <c r="B186" s="7">
        <v>41325</v>
      </c>
      <c r="C186" s="3" t="s">
        <v>43</v>
      </c>
      <c r="D186" s="6" t="s">
        <v>14</v>
      </c>
      <c r="E186" s="3" t="s">
        <v>12</v>
      </c>
      <c r="F186" s="5">
        <v>40</v>
      </c>
      <c r="G186" s="5">
        <v>6390</v>
      </c>
      <c r="H186" s="8">
        <f t="shared" si="8"/>
        <v>255600</v>
      </c>
      <c r="I186" s="8">
        <f t="shared" si="9"/>
        <v>25560</v>
      </c>
      <c r="J186" s="8" t="str">
        <f t="shared" si="10"/>
        <v/>
      </c>
      <c r="K186" s="8">
        <f t="shared" si="11"/>
        <v>281160</v>
      </c>
    </row>
    <row r="187" spans="2:11" hidden="1">
      <c r="B187" s="7">
        <v>41325</v>
      </c>
      <c r="C187" s="3" t="s">
        <v>44</v>
      </c>
      <c r="D187" s="6" t="s">
        <v>26</v>
      </c>
      <c r="E187" s="3" t="s">
        <v>1</v>
      </c>
      <c r="F187" s="5">
        <v>42</v>
      </c>
      <c r="G187" s="5">
        <v>7950</v>
      </c>
      <c r="H187" s="8">
        <f t="shared" si="8"/>
        <v>333900</v>
      </c>
      <c r="I187" s="8">
        <f t="shared" si="9"/>
        <v>33390</v>
      </c>
      <c r="J187" s="8">
        <f t="shared" si="10"/>
        <v>367290</v>
      </c>
      <c r="K187" s="8" t="str">
        <f t="shared" si="11"/>
        <v/>
      </c>
    </row>
    <row r="188" spans="2:11" hidden="1">
      <c r="B188" s="7">
        <v>41326</v>
      </c>
      <c r="C188" s="3" t="s">
        <v>36</v>
      </c>
      <c r="D188" s="6" t="s">
        <v>20</v>
      </c>
      <c r="E188" s="3" t="s">
        <v>12</v>
      </c>
      <c r="F188" s="5">
        <v>6</v>
      </c>
      <c r="G188" s="5">
        <v>9190</v>
      </c>
      <c r="H188" s="8">
        <f t="shared" si="8"/>
        <v>55140</v>
      </c>
      <c r="I188" s="8">
        <f t="shared" si="9"/>
        <v>5510</v>
      </c>
      <c r="J188" s="8" t="str">
        <f t="shared" si="10"/>
        <v/>
      </c>
      <c r="K188" s="8">
        <f t="shared" si="11"/>
        <v>60650</v>
      </c>
    </row>
    <row r="189" spans="2:11" hidden="1">
      <c r="B189" s="7">
        <v>41327</v>
      </c>
      <c r="C189" s="3" t="s">
        <v>43</v>
      </c>
      <c r="D189" s="6" t="s">
        <v>14</v>
      </c>
      <c r="E189" s="3" t="s">
        <v>12</v>
      </c>
      <c r="F189" s="5">
        <v>27</v>
      </c>
      <c r="G189" s="5">
        <v>6290</v>
      </c>
      <c r="H189" s="8">
        <f t="shared" si="8"/>
        <v>169830</v>
      </c>
      <c r="I189" s="8">
        <f t="shared" si="9"/>
        <v>16980</v>
      </c>
      <c r="J189" s="8" t="str">
        <f t="shared" si="10"/>
        <v/>
      </c>
      <c r="K189" s="8">
        <f t="shared" si="11"/>
        <v>186810</v>
      </c>
    </row>
    <row r="190" spans="2:11" hidden="1">
      <c r="B190" s="7">
        <v>41327</v>
      </c>
      <c r="C190" s="3" t="s">
        <v>43</v>
      </c>
      <c r="D190" s="6" t="s">
        <v>16</v>
      </c>
      <c r="E190" s="3" t="s">
        <v>1</v>
      </c>
      <c r="F190" s="5">
        <v>49</v>
      </c>
      <c r="G190" s="5">
        <v>9220</v>
      </c>
      <c r="H190" s="8">
        <f t="shared" si="8"/>
        <v>451780</v>
      </c>
      <c r="I190" s="8">
        <f t="shared" si="9"/>
        <v>45170</v>
      </c>
      <c r="J190" s="8">
        <f t="shared" si="10"/>
        <v>496950</v>
      </c>
      <c r="K190" s="8" t="str">
        <f t="shared" si="11"/>
        <v/>
      </c>
    </row>
    <row r="191" spans="2:11" hidden="1">
      <c r="B191" s="7">
        <v>41327</v>
      </c>
      <c r="C191" s="3" t="s">
        <v>42</v>
      </c>
      <c r="D191" s="6" t="s">
        <v>25</v>
      </c>
      <c r="E191" s="3" t="s">
        <v>12</v>
      </c>
      <c r="F191" s="5">
        <v>7</v>
      </c>
      <c r="G191" s="5">
        <v>11750</v>
      </c>
      <c r="H191" s="8">
        <f t="shared" si="8"/>
        <v>82250</v>
      </c>
      <c r="I191" s="8">
        <f t="shared" si="9"/>
        <v>8220</v>
      </c>
      <c r="J191" s="8" t="str">
        <f t="shared" si="10"/>
        <v/>
      </c>
      <c r="K191" s="8">
        <f t="shared" si="11"/>
        <v>90470</v>
      </c>
    </row>
    <row r="192" spans="2:11" hidden="1">
      <c r="B192" s="7">
        <v>41327</v>
      </c>
      <c r="C192" s="3" t="s">
        <v>42</v>
      </c>
      <c r="D192" s="6" t="s">
        <v>19</v>
      </c>
      <c r="E192" s="3" t="s">
        <v>0</v>
      </c>
      <c r="F192" s="5">
        <v>10</v>
      </c>
      <c r="G192" s="5">
        <v>3520</v>
      </c>
      <c r="H192" s="8">
        <f t="shared" si="8"/>
        <v>35200</v>
      </c>
      <c r="I192" s="8">
        <f t="shared" si="9"/>
        <v>3520</v>
      </c>
      <c r="J192" s="8">
        <f t="shared" si="10"/>
        <v>38720</v>
      </c>
      <c r="K192" s="8" t="str">
        <f t="shared" si="11"/>
        <v/>
      </c>
    </row>
    <row r="193" spans="2:11" hidden="1">
      <c r="B193" s="7">
        <v>41327</v>
      </c>
      <c r="C193" s="3" t="s">
        <v>41</v>
      </c>
      <c r="D193" s="6" t="s">
        <v>15</v>
      </c>
      <c r="E193" s="3" t="s">
        <v>0</v>
      </c>
      <c r="F193" s="5">
        <v>42</v>
      </c>
      <c r="G193" s="5">
        <v>4310</v>
      </c>
      <c r="H193" s="8">
        <f t="shared" si="8"/>
        <v>181020</v>
      </c>
      <c r="I193" s="8">
        <f t="shared" si="9"/>
        <v>18100</v>
      </c>
      <c r="J193" s="8">
        <f t="shared" si="10"/>
        <v>199120</v>
      </c>
      <c r="K193" s="8" t="str">
        <f t="shared" si="11"/>
        <v/>
      </c>
    </row>
    <row r="194" spans="2:11" hidden="1">
      <c r="B194" s="7">
        <v>41328</v>
      </c>
      <c r="C194" s="3" t="s">
        <v>38</v>
      </c>
      <c r="D194" s="6" t="s">
        <v>29</v>
      </c>
      <c r="E194" s="3" t="s">
        <v>12</v>
      </c>
      <c r="F194" s="5">
        <v>37</v>
      </c>
      <c r="G194" s="5">
        <v>5820</v>
      </c>
      <c r="H194" s="8">
        <f t="shared" si="8"/>
        <v>215340</v>
      </c>
      <c r="I194" s="8">
        <f t="shared" si="9"/>
        <v>21530</v>
      </c>
      <c r="J194" s="8" t="str">
        <f t="shared" si="10"/>
        <v/>
      </c>
      <c r="K194" s="8">
        <f t="shared" si="11"/>
        <v>236870</v>
      </c>
    </row>
    <row r="195" spans="2:11" hidden="1">
      <c r="B195" s="7">
        <v>41328</v>
      </c>
      <c r="C195" s="3" t="s">
        <v>39</v>
      </c>
      <c r="D195" s="6" t="s">
        <v>29</v>
      </c>
      <c r="E195" s="3" t="s">
        <v>12</v>
      </c>
      <c r="F195" s="5">
        <v>39</v>
      </c>
      <c r="G195" s="5">
        <v>6320</v>
      </c>
      <c r="H195" s="8">
        <f t="shared" si="8"/>
        <v>246480</v>
      </c>
      <c r="I195" s="8">
        <f t="shared" si="9"/>
        <v>24640</v>
      </c>
      <c r="J195" s="8" t="str">
        <f t="shared" si="10"/>
        <v/>
      </c>
      <c r="K195" s="8">
        <f t="shared" si="11"/>
        <v>271120</v>
      </c>
    </row>
    <row r="196" spans="2:11" hidden="1">
      <c r="B196" s="7">
        <v>41328</v>
      </c>
      <c r="C196" s="3" t="s">
        <v>38</v>
      </c>
      <c r="D196" s="6" t="s">
        <v>27</v>
      </c>
      <c r="E196" s="3" t="s">
        <v>12</v>
      </c>
      <c r="F196" s="5">
        <v>5</v>
      </c>
      <c r="G196" s="5">
        <v>6320</v>
      </c>
      <c r="H196" s="8">
        <f t="shared" si="8"/>
        <v>31600</v>
      </c>
      <c r="I196" s="8">
        <f t="shared" si="9"/>
        <v>3160</v>
      </c>
      <c r="J196" s="8" t="str">
        <f t="shared" si="10"/>
        <v/>
      </c>
      <c r="K196" s="8">
        <f t="shared" si="11"/>
        <v>34760</v>
      </c>
    </row>
    <row r="197" spans="2:11" hidden="1">
      <c r="B197" s="7">
        <v>41328</v>
      </c>
      <c r="C197" s="3" t="s">
        <v>45</v>
      </c>
      <c r="D197" s="6" t="s">
        <v>15</v>
      </c>
      <c r="E197" s="3" t="s">
        <v>12</v>
      </c>
      <c r="F197" s="5">
        <v>33</v>
      </c>
      <c r="G197" s="5">
        <v>8450</v>
      </c>
      <c r="H197" s="8">
        <f t="shared" si="8"/>
        <v>278850</v>
      </c>
      <c r="I197" s="8">
        <f t="shared" si="9"/>
        <v>27880</v>
      </c>
      <c r="J197" s="8" t="str">
        <f t="shared" si="10"/>
        <v/>
      </c>
      <c r="K197" s="8">
        <f t="shared" si="11"/>
        <v>306730</v>
      </c>
    </row>
    <row r="198" spans="2:11" hidden="1">
      <c r="B198" s="7">
        <v>41328</v>
      </c>
      <c r="C198" s="3" t="s">
        <v>45</v>
      </c>
      <c r="D198" s="6" t="s">
        <v>15</v>
      </c>
      <c r="E198" s="3" t="s">
        <v>0</v>
      </c>
      <c r="F198" s="5">
        <v>46</v>
      </c>
      <c r="G198" s="5">
        <v>3650</v>
      </c>
      <c r="H198" s="8">
        <f t="shared" si="8"/>
        <v>167900</v>
      </c>
      <c r="I198" s="8">
        <f t="shared" si="9"/>
        <v>16790</v>
      </c>
      <c r="J198" s="8">
        <f t="shared" si="10"/>
        <v>184690</v>
      </c>
      <c r="K198" s="8" t="str">
        <f t="shared" si="11"/>
        <v/>
      </c>
    </row>
    <row r="199" spans="2:11" hidden="1">
      <c r="B199" s="7">
        <v>41329</v>
      </c>
      <c r="C199" s="3" t="s">
        <v>41</v>
      </c>
      <c r="D199" s="6" t="s">
        <v>11</v>
      </c>
      <c r="E199" s="3" t="s">
        <v>12</v>
      </c>
      <c r="F199" s="5">
        <v>43</v>
      </c>
      <c r="G199" s="5">
        <v>5940</v>
      </c>
      <c r="H199" s="8">
        <f t="shared" si="8"/>
        <v>255420</v>
      </c>
      <c r="I199" s="8">
        <f t="shared" si="9"/>
        <v>25540</v>
      </c>
      <c r="J199" s="8" t="str">
        <f t="shared" si="10"/>
        <v/>
      </c>
      <c r="K199" s="8">
        <f t="shared" si="11"/>
        <v>280960</v>
      </c>
    </row>
    <row r="200" spans="2:11" hidden="1">
      <c r="B200" s="7">
        <v>41329</v>
      </c>
      <c r="C200" s="3" t="s">
        <v>36</v>
      </c>
      <c r="D200" s="6" t="s">
        <v>18</v>
      </c>
      <c r="E200" s="3" t="s">
        <v>12</v>
      </c>
      <c r="F200" s="5">
        <v>27</v>
      </c>
      <c r="G200" s="5">
        <v>9190</v>
      </c>
      <c r="H200" s="8">
        <f t="shared" si="8"/>
        <v>248130</v>
      </c>
      <c r="I200" s="8">
        <f t="shared" si="9"/>
        <v>24810</v>
      </c>
      <c r="J200" s="8" t="str">
        <f t="shared" si="10"/>
        <v/>
      </c>
      <c r="K200" s="8">
        <f t="shared" si="11"/>
        <v>272940</v>
      </c>
    </row>
    <row r="201" spans="2:11" hidden="1">
      <c r="B201" s="7">
        <v>41329</v>
      </c>
      <c r="C201" s="3" t="s">
        <v>41</v>
      </c>
      <c r="D201" s="6" t="s">
        <v>18</v>
      </c>
      <c r="E201" s="3" t="s">
        <v>12</v>
      </c>
      <c r="F201" s="5">
        <v>30</v>
      </c>
      <c r="G201" s="5">
        <v>9990</v>
      </c>
      <c r="H201" s="8">
        <f t="shared" si="8"/>
        <v>299700</v>
      </c>
      <c r="I201" s="8">
        <f t="shared" si="9"/>
        <v>29970</v>
      </c>
      <c r="J201" s="8" t="str">
        <f t="shared" si="10"/>
        <v/>
      </c>
      <c r="K201" s="8">
        <f t="shared" si="11"/>
        <v>329670</v>
      </c>
    </row>
    <row r="202" spans="2:11" hidden="1">
      <c r="B202" s="7">
        <v>41329</v>
      </c>
      <c r="C202" s="3" t="s">
        <v>43</v>
      </c>
      <c r="D202" s="6" t="s">
        <v>13</v>
      </c>
      <c r="E202" s="3" t="s">
        <v>0</v>
      </c>
      <c r="F202" s="5">
        <v>27</v>
      </c>
      <c r="G202" s="5">
        <v>3740</v>
      </c>
      <c r="H202" s="8">
        <f t="shared" si="8"/>
        <v>100980</v>
      </c>
      <c r="I202" s="8">
        <f t="shared" si="9"/>
        <v>10090</v>
      </c>
      <c r="J202" s="8">
        <f t="shared" si="10"/>
        <v>111070</v>
      </c>
      <c r="K202" s="8" t="str">
        <f t="shared" si="11"/>
        <v/>
      </c>
    </row>
    <row r="203" spans="2:11" hidden="1">
      <c r="B203" s="7">
        <v>41329</v>
      </c>
      <c r="C203" s="3" t="s">
        <v>37</v>
      </c>
      <c r="D203" s="6" t="s">
        <v>23</v>
      </c>
      <c r="E203" s="3" t="s">
        <v>0</v>
      </c>
      <c r="F203" s="5">
        <v>47</v>
      </c>
      <c r="G203" s="5">
        <v>4560</v>
      </c>
      <c r="H203" s="8">
        <f t="shared" si="8"/>
        <v>214320</v>
      </c>
      <c r="I203" s="8">
        <f t="shared" si="9"/>
        <v>21430</v>
      </c>
      <c r="J203" s="8">
        <f t="shared" si="10"/>
        <v>235750</v>
      </c>
      <c r="K203" s="8" t="str">
        <f t="shared" si="11"/>
        <v/>
      </c>
    </row>
    <row r="204" spans="2:11" hidden="1">
      <c r="B204" s="7">
        <v>41330</v>
      </c>
      <c r="C204" s="3" t="s">
        <v>45</v>
      </c>
      <c r="D204" s="6" t="s">
        <v>21</v>
      </c>
      <c r="E204" s="3" t="s">
        <v>12</v>
      </c>
      <c r="F204" s="5">
        <v>46</v>
      </c>
      <c r="G204" s="5">
        <v>6190</v>
      </c>
      <c r="H204" s="8">
        <f t="shared" si="8"/>
        <v>284740</v>
      </c>
      <c r="I204" s="8">
        <f t="shared" si="9"/>
        <v>28470</v>
      </c>
      <c r="J204" s="8" t="str">
        <f t="shared" si="10"/>
        <v/>
      </c>
      <c r="K204" s="8">
        <f t="shared" si="11"/>
        <v>313210</v>
      </c>
    </row>
    <row r="205" spans="2:11" hidden="1">
      <c r="B205" s="7">
        <v>41330</v>
      </c>
      <c r="C205" s="3" t="s">
        <v>43</v>
      </c>
      <c r="D205" s="6" t="s">
        <v>19</v>
      </c>
      <c r="E205" s="3" t="s">
        <v>0</v>
      </c>
      <c r="F205" s="5">
        <v>26</v>
      </c>
      <c r="G205" s="5">
        <v>1550</v>
      </c>
      <c r="H205" s="8">
        <f t="shared" ref="H205:H268" si="12">F205*G205</f>
        <v>40300</v>
      </c>
      <c r="I205" s="8">
        <f t="shared" ref="I205:I268" si="13">TRUNC(H205*10%,-1)</f>
        <v>4030</v>
      </c>
      <c r="J205" s="8">
        <f t="shared" ref="J205:J268" si="14">IF(E205="매입",H205+I205,"")</f>
        <v>44330</v>
      </c>
      <c r="K205" s="8" t="str">
        <f t="shared" ref="K205:K268" si="15">IF(E205="매출",H205+I205,"")</f>
        <v/>
      </c>
    </row>
    <row r="206" spans="2:11" hidden="1">
      <c r="B206" s="7">
        <v>41330</v>
      </c>
      <c r="C206" s="3" t="s">
        <v>38</v>
      </c>
      <c r="D206" s="6" t="s">
        <v>25</v>
      </c>
      <c r="E206" s="3" t="s">
        <v>0</v>
      </c>
      <c r="F206" s="5">
        <v>14</v>
      </c>
      <c r="G206" s="5">
        <v>4320</v>
      </c>
      <c r="H206" s="8">
        <f t="shared" si="12"/>
        <v>60480</v>
      </c>
      <c r="I206" s="8">
        <f t="shared" si="13"/>
        <v>6040</v>
      </c>
      <c r="J206" s="8">
        <f t="shared" si="14"/>
        <v>66520</v>
      </c>
      <c r="K206" s="8" t="str">
        <f t="shared" si="15"/>
        <v/>
      </c>
    </row>
    <row r="207" spans="2:11" hidden="1">
      <c r="B207" s="7">
        <v>41330</v>
      </c>
      <c r="C207" s="3" t="s">
        <v>45</v>
      </c>
      <c r="D207" s="6" t="s">
        <v>16</v>
      </c>
      <c r="E207" s="3" t="s">
        <v>0</v>
      </c>
      <c r="F207" s="5">
        <v>37</v>
      </c>
      <c r="G207" s="5">
        <v>5360</v>
      </c>
      <c r="H207" s="8">
        <f t="shared" si="12"/>
        <v>198320</v>
      </c>
      <c r="I207" s="8">
        <f t="shared" si="13"/>
        <v>19830</v>
      </c>
      <c r="J207" s="8">
        <f t="shared" si="14"/>
        <v>218150</v>
      </c>
      <c r="K207" s="8" t="str">
        <f t="shared" si="15"/>
        <v/>
      </c>
    </row>
    <row r="208" spans="2:11" hidden="1">
      <c r="B208" s="7">
        <v>41331</v>
      </c>
      <c r="C208" s="3" t="s">
        <v>44</v>
      </c>
      <c r="D208" s="6" t="s">
        <v>20</v>
      </c>
      <c r="E208" s="3" t="s">
        <v>12</v>
      </c>
      <c r="F208" s="5">
        <v>22</v>
      </c>
      <c r="G208" s="5">
        <v>11070</v>
      </c>
      <c r="H208" s="8">
        <f t="shared" si="12"/>
        <v>243540</v>
      </c>
      <c r="I208" s="8">
        <f t="shared" si="13"/>
        <v>24350</v>
      </c>
      <c r="J208" s="8" t="str">
        <f t="shared" si="14"/>
        <v/>
      </c>
      <c r="K208" s="8">
        <f t="shared" si="15"/>
        <v>267890</v>
      </c>
    </row>
    <row r="209" spans="2:11" hidden="1">
      <c r="B209" s="7">
        <v>41331</v>
      </c>
      <c r="C209" s="3" t="s">
        <v>45</v>
      </c>
      <c r="D209" s="6" t="s">
        <v>15</v>
      </c>
      <c r="E209" s="3" t="s">
        <v>0</v>
      </c>
      <c r="F209" s="5">
        <v>34</v>
      </c>
      <c r="G209" s="5">
        <v>2770</v>
      </c>
      <c r="H209" s="8">
        <f t="shared" si="12"/>
        <v>94180</v>
      </c>
      <c r="I209" s="8">
        <f t="shared" si="13"/>
        <v>9410</v>
      </c>
      <c r="J209" s="8">
        <f t="shared" si="14"/>
        <v>103590</v>
      </c>
      <c r="K209" s="8" t="str">
        <f t="shared" si="15"/>
        <v/>
      </c>
    </row>
    <row r="210" spans="2:11" hidden="1">
      <c r="B210" s="7">
        <v>41331</v>
      </c>
      <c r="C210" s="3" t="s">
        <v>36</v>
      </c>
      <c r="D210" s="6" t="s">
        <v>28</v>
      </c>
      <c r="E210" s="3" t="s">
        <v>0</v>
      </c>
      <c r="F210" s="5">
        <v>49</v>
      </c>
      <c r="G210" s="5">
        <v>2100</v>
      </c>
      <c r="H210" s="8">
        <f t="shared" si="12"/>
        <v>102900</v>
      </c>
      <c r="I210" s="8">
        <f t="shared" si="13"/>
        <v>10290</v>
      </c>
      <c r="J210" s="8">
        <f t="shared" si="14"/>
        <v>113190</v>
      </c>
      <c r="K210" s="8" t="str">
        <f t="shared" si="15"/>
        <v/>
      </c>
    </row>
    <row r="211" spans="2:11" hidden="1">
      <c r="B211" s="7">
        <v>41332</v>
      </c>
      <c r="C211" s="3" t="s">
        <v>36</v>
      </c>
      <c r="D211" s="6" t="s">
        <v>21</v>
      </c>
      <c r="E211" s="3" t="s">
        <v>12</v>
      </c>
      <c r="F211" s="5">
        <v>26</v>
      </c>
      <c r="G211" s="5">
        <v>7570</v>
      </c>
      <c r="H211" s="8">
        <f t="shared" si="12"/>
        <v>196820</v>
      </c>
      <c r="I211" s="8">
        <f t="shared" si="13"/>
        <v>19680</v>
      </c>
      <c r="J211" s="8" t="str">
        <f t="shared" si="14"/>
        <v/>
      </c>
      <c r="K211" s="8">
        <f t="shared" si="15"/>
        <v>216500</v>
      </c>
    </row>
    <row r="212" spans="2:11" hidden="1">
      <c r="B212" s="7">
        <v>41333</v>
      </c>
      <c r="C212" s="3" t="s">
        <v>39</v>
      </c>
      <c r="D212" s="6" t="s">
        <v>28</v>
      </c>
      <c r="E212" s="3" t="s">
        <v>12</v>
      </c>
      <c r="F212" s="5">
        <v>26</v>
      </c>
      <c r="G212" s="5">
        <v>11900</v>
      </c>
      <c r="H212" s="8">
        <f t="shared" si="12"/>
        <v>309400</v>
      </c>
      <c r="I212" s="8">
        <f t="shared" si="13"/>
        <v>30940</v>
      </c>
      <c r="J212" s="8" t="str">
        <f t="shared" si="14"/>
        <v/>
      </c>
      <c r="K212" s="8">
        <f t="shared" si="15"/>
        <v>340340</v>
      </c>
    </row>
    <row r="213" spans="2:11" hidden="1">
      <c r="B213" s="7">
        <v>41333</v>
      </c>
      <c r="C213" s="3" t="s">
        <v>41</v>
      </c>
      <c r="D213" s="6" t="s">
        <v>21</v>
      </c>
      <c r="E213" s="3" t="s">
        <v>0</v>
      </c>
      <c r="F213" s="5">
        <v>8</v>
      </c>
      <c r="G213" s="5">
        <v>3400</v>
      </c>
      <c r="H213" s="8">
        <f t="shared" si="12"/>
        <v>27200</v>
      </c>
      <c r="I213" s="8">
        <f t="shared" si="13"/>
        <v>2720</v>
      </c>
      <c r="J213" s="8">
        <f t="shared" si="14"/>
        <v>29920</v>
      </c>
      <c r="K213" s="8" t="str">
        <f t="shared" si="15"/>
        <v/>
      </c>
    </row>
    <row r="214" spans="2:11" hidden="1">
      <c r="B214" s="7">
        <v>41334</v>
      </c>
      <c r="C214" s="3" t="s">
        <v>44</v>
      </c>
      <c r="D214" s="6" t="s">
        <v>19</v>
      </c>
      <c r="E214" s="3" t="s">
        <v>0</v>
      </c>
      <c r="F214" s="5">
        <v>42</v>
      </c>
      <c r="G214" s="5">
        <v>1930</v>
      </c>
      <c r="H214" s="8">
        <f t="shared" si="12"/>
        <v>81060</v>
      </c>
      <c r="I214" s="8">
        <f t="shared" si="13"/>
        <v>8100</v>
      </c>
      <c r="J214" s="8">
        <f t="shared" si="14"/>
        <v>89160</v>
      </c>
      <c r="K214" s="8" t="str">
        <f t="shared" si="15"/>
        <v/>
      </c>
    </row>
    <row r="215" spans="2:11" hidden="1">
      <c r="B215" s="7">
        <v>41335</v>
      </c>
      <c r="C215" s="3" t="s">
        <v>40</v>
      </c>
      <c r="D215" s="6" t="s">
        <v>17</v>
      </c>
      <c r="E215" s="3" t="s">
        <v>12</v>
      </c>
      <c r="F215" s="5">
        <v>18</v>
      </c>
      <c r="G215" s="5">
        <v>20240</v>
      </c>
      <c r="H215" s="8">
        <f t="shared" si="12"/>
        <v>364320</v>
      </c>
      <c r="I215" s="8">
        <f t="shared" si="13"/>
        <v>36430</v>
      </c>
      <c r="J215" s="8" t="str">
        <f t="shared" si="14"/>
        <v/>
      </c>
      <c r="K215" s="8">
        <f t="shared" si="15"/>
        <v>400750</v>
      </c>
    </row>
    <row r="216" spans="2:11" hidden="1">
      <c r="B216" s="7">
        <v>41335</v>
      </c>
      <c r="C216" s="3" t="s">
        <v>44</v>
      </c>
      <c r="D216" s="6" t="s">
        <v>18</v>
      </c>
      <c r="E216" s="3" t="s">
        <v>0</v>
      </c>
      <c r="F216" s="5">
        <v>37</v>
      </c>
      <c r="G216" s="5">
        <v>1820</v>
      </c>
      <c r="H216" s="8">
        <f t="shared" si="12"/>
        <v>67340</v>
      </c>
      <c r="I216" s="8">
        <f t="shared" si="13"/>
        <v>6730</v>
      </c>
      <c r="J216" s="8">
        <f t="shared" si="14"/>
        <v>74070</v>
      </c>
      <c r="K216" s="8" t="str">
        <f t="shared" si="15"/>
        <v/>
      </c>
    </row>
    <row r="217" spans="2:11" hidden="1">
      <c r="B217" s="7">
        <v>41335</v>
      </c>
      <c r="C217" s="3" t="s">
        <v>37</v>
      </c>
      <c r="D217" s="6" t="s">
        <v>15</v>
      </c>
      <c r="E217" s="3" t="s">
        <v>0</v>
      </c>
      <c r="F217" s="5">
        <v>30</v>
      </c>
      <c r="G217" s="5">
        <v>3940</v>
      </c>
      <c r="H217" s="8">
        <f t="shared" si="12"/>
        <v>118200</v>
      </c>
      <c r="I217" s="8">
        <f t="shared" si="13"/>
        <v>11820</v>
      </c>
      <c r="J217" s="8">
        <f t="shared" si="14"/>
        <v>130020</v>
      </c>
      <c r="K217" s="8" t="str">
        <f t="shared" si="15"/>
        <v/>
      </c>
    </row>
    <row r="218" spans="2:11" hidden="1">
      <c r="B218" s="7">
        <v>41336</v>
      </c>
      <c r="C218" s="3" t="s">
        <v>44</v>
      </c>
      <c r="D218" s="6" t="s">
        <v>26</v>
      </c>
      <c r="E218" s="3" t="s">
        <v>0</v>
      </c>
      <c r="F218" s="5">
        <v>33</v>
      </c>
      <c r="G218" s="5">
        <v>2680</v>
      </c>
      <c r="H218" s="8">
        <f t="shared" si="12"/>
        <v>88440</v>
      </c>
      <c r="I218" s="8">
        <f t="shared" si="13"/>
        <v>8840</v>
      </c>
      <c r="J218" s="8">
        <f t="shared" si="14"/>
        <v>97280</v>
      </c>
      <c r="K218" s="8" t="str">
        <f t="shared" si="15"/>
        <v/>
      </c>
    </row>
    <row r="219" spans="2:11" hidden="1">
      <c r="B219" s="7">
        <v>41337</v>
      </c>
      <c r="C219" s="3" t="s">
        <v>42</v>
      </c>
      <c r="D219" s="6" t="s">
        <v>14</v>
      </c>
      <c r="E219" s="3" t="s">
        <v>12</v>
      </c>
      <c r="F219" s="5">
        <v>27</v>
      </c>
      <c r="G219" s="5">
        <v>3190</v>
      </c>
      <c r="H219" s="8">
        <f t="shared" si="12"/>
        <v>86130</v>
      </c>
      <c r="I219" s="8">
        <f t="shared" si="13"/>
        <v>8610</v>
      </c>
      <c r="J219" s="8" t="str">
        <f t="shared" si="14"/>
        <v/>
      </c>
      <c r="K219" s="8">
        <f t="shared" si="15"/>
        <v>94740</v>
      </c>
    </row>
    <row r="220" spans="2:11" hidden="1">
      <c r="B220" s="7">
        <v>41337</v>
      </c>
      <c r="C220" s="3" t="s">
        <v>39</v>
      </c>
      <c r="D220" s="6" t="s">
        <v>29</v>
      </c>
      <c r="E220" s="3" t="s">
        <v>12</v>
      </c>
      <c r="F220" s="5">
        <v>8</v>
      </c>
      <c r="G220" s="5">
        <v>7700</v>
      </c>
      <c r="H220" s="8">
        <f t="shared" si="12"/>
        <v>61600</v>
      </c>
      <c r="I220" s="8">
        <f t="shared" si="13"/>
        <v>6160</v>
      </c>
      <c r="J220" s="8" t="str">
        <f t="shared" si="14"/>
        <v/>
      </c>
      <c r="K220" s="8">
        <f t="shared" si="15"/>
        <v>67760</v>
      </c>
    </row>
    <row r="221" spans="2:11" hidden="1">
      <c r="B221" s="7">
        <v>41337</v>
      </c>
      <c r="C221" s="3" t="s">
        <v>45</v>
      </c>
      <c r="D221" s="6" t="s">
        <v>17</v>
      </c>
      <c r="E221" s="3" t="s">
        <v>1</v>
      </c>
      <c r="F221" s="5">
        <v>32</v>
      </c>
      <c r="G221" s="5">
        <v>23520</v>
      </c>
      <c r="H221" s="8">
        <f t="shared" si="12"/>
        <v>752640</v>
      </c>
      <c r="I221" s="8">
        <f t="shared" si="13"/>
        <v>75260</v>
      </c>
      <c r="J221" s="8">
        <f t="shared" si="14"/>
        <v>827900</v>
      </c>
      <c r="K221" s="8" t="str">
        <f t="shared" si="15"/>
        <v/>
      </c>
    </row>
    <row r="222" spans="2:11" hidden="1">
      <c r="B222" s="7">
        <v>41337</v>
      </c>
      <c r="C222" s="3" t="s">
        <v>37</v>
      </c>
      <c r="D222" s="6" t="s">
        <v>13</v>
      </c>
      <c r="E222" s="3" t="s">
        <v>0</v>
      </c>
      <c r="F222" s="5">
        <v>6</v>
      </c>
      <c r="G222" s="5">
        <v>2090</v>
      </c>
      <c r="H222" s="8">
        <f t="shared" si="12"/>
        <v>12540</v>
      </c>
      <c r="I222" s="8">
        <f t="shared" si="13"/>
        <v>1250</v>
      </c>
      <c r="J222" s="8">
        <f t="shared" si="14"/>
        <v>13790</v>
      </c>
      <c r="K222" s="8" t="str">
        <f t="shared" si="15"/>
        <v/>
      </c>
    </row>
    <row r="223" spans="2:11" hidden="1">
      <c r="B223" s="7">
        <v>41338</v>
      </c>
      <c r="C223" s="3" t="s">
        <v>40</v>
      </c>
      <c r="D223" s="6" t="s">
        <v>29</v>
      </c>
      <c r="E223" s="3" t="s">
        <v>0</v>
      </c>
      <c r="F223" s="5">
        <v>11</v>
      </c>
      <c r="G223" s="5">
        <v>4560</v>
      </c>
      <c r="H223" s="8">
        <f t="shared" si="12"/>
        <v>50160</v>
      </c>
      <c r="I223" s="8">
        <f t="shared" si="13"/>
        <v>5010</v>
      </c>
      <c r="J223" s="8">
        <f t="shared" si="14"/>
        <v>55170</v>
      </c>
      <c r="K223" s="8" t="str">
        <f t="shared" si="15"/>
        <v/>
      </c>
    </row>
    <row r="224" spans="2:11" hidden="1">
      <c r="B224" s="7">
        <v>41339</v>
      </c>
      <c r="C224" s="3" t="s">
        <v>37</v>
      </c>
      <c r="D224" s="6" t="s">
        <v>23</v>
      </c>
      <c r="E224" s="3" t="s">
        <v>0</v>
      </c>
      <c r="F224" s="5">
        <v>9</v>
      </c>
      <c r="G224" s="5">
        <v>3560</v>
      </c>
      <c r="H224" s="8">
        <f t="shared" si="12"/>
        <v>32040</v>
      </c>
      <c r="I224" s="8">
        <f t="shared" si="13"/>
        <v>3200</v>
      </c>
      <c r="J224" s="8">
        <f t="shared" si="14"/>
        <v>35240</v>
      </c>
      <c r="K224" s="8" t="str">
        <f t="shared" si="15"/>
        <v/>
      </c>
    </row>
    <row r="225" spans="2:11" hidden="1">
      <c r="B225" s="7">
        <v>41340</v>
      </c>
      <c r="C225" s="3" t="s">
        <v>41</v>
      </c>
      <c r="D225" s="6" t="s">
        <v>14</v>
      </c>
      <c r="E225" s="3" t="s">
        <v>0</v>
      </c>
      <c r="F225" s="5">
        <v>49</v>
      </c>
      <c r="G225" s="5">
        <v>2810</v>
      </c>
      <c r="H225" s="8">
        <f t="shared" si="12"/>
        <v>137690</v>
      </c>
      <c r="I225" s="8">
        <f t="shared" si="13"/>
        <v>13760</v>
      </c>
      <c r="J225" s="8">
        <f t="shared" si="14"/>
        <v>151450</v>
      </c>
      <c r="K225" s="8" t="str">
        <f t="shared" si="15"/>
        <v/>
      </c>
    </row>
    <row r="226" spans="2:11" hidden="1">
      <c r="B226" s="7">
        <v>41340</v>
      </c>
      <c r="C226" s="3" t="s">
        <v>45</v>
      </c>
      <c r="D226" s="6" t="s">
        <v>19</v>
      </c>
      <c r="E226" s="3" t="s">
        <v>0</v>
      </c>
      <c r="F226" s="5">
        <v>34</v>
      </c>
      <c r="G226" s="5">
        <v>4020</v>
      </c>
      <c r="H226" s="8">
        <f t="shared" si="12"/>
        <v>136680</v>
      </c>
      <c r="I226" s="8">
        <f t="shared" si="13"/>
        <v>13660</v>
      </c>
      <c r="J226" s="8">
        <f t="shared" si="14"/>
        <v>150340</v>
      </c>
      <c r="K226" s="8" t="str">
        <f t="shared" si="15"/>
        <v/>
      </c>
    </row>
    <row r="227" spans="2:11" hidden="1">
      <c r="B227" s="7">
        <v>41340</v>
      </c>
      <c r="C227" s="3" t="s">
        <v>40</v>
      </c>
      <c r="D227" s="6" t="s">
        <v>26</v>
      </c>
      <c r="E227" s="3" t="s">
        <v>0</v>
      </c>
      <c r="F227" s="5">
        <v>29</v>
      </c>
      <c r="G227" s="5">
        <v>2810</v>
      </c>
      <c r="H227" s="8">
        <f t="shared" si="12"/>
        <v>81490</v>
      </c>
      <c r="I227" s="8">
        <f t="shared" si="13"/>
        <v>8140</v>
      </c>
      <c r="J227" s="8">
        <f t="shared" si="14"/>
        <v>89630</v>
      </c>
      <c r="K227" s="8" t="str">
        <f t="shared" si="15"/>
        <v/>
      </c>
    </row>
    <row r="228" spans="2:11" hidden="1">
      <c r="B228" s="7">
        <v>41342</v>
      </c>
      <c r="C228" s="3" t="s">
        <v>42</v>
      </c>
      <c r="D228" s="6" t="s">
        <v>19</v>
      </c>
      <c r="E228" s="3" t="s">
        <v>12</v>
      </c>
      <c r="F228" s="5">
        <v>44</v>
      </c>
      <c r="G228" s="5">
        <v>8200</v>
      </c>
      <c r="H228" s="8">
        <f t="shared" si="12"/>
        <v>360800</v>
      </c>
      <c r="I228" s="8">
        <f t="shared" si="13"/>
        <v>36080</v>
      </c>
      <c r="J228" s="8" t="str">
        <f t="shared" si="14"/>
        <v/>
      </c>
      <c r="K228" s="8">
        <f t="shared" si="15"/>
        <v>396880</v>
      </c>
    </row>
    <row r="229" spans="2:11" hidden="1">
      <c r="B229" s="7">
        <v>41342</v>
      </c>
      <c r="C229" s="3" t="s">
        <v>36</v>
      </c>
      <c r="D229" s="6" t="s">
        <v>21</v>
      </c>
      <c r="E229" s="3" t="s">
        <v>12</v>
      </c>
      <c r="F229" s="5">
        <v>11</v>
      </c>
      <c r="G229" s="5">
        <v>9710</v>
      </c>
      <c r="H229" s="8">
        <f t="shared" si="12"/>
        <v>106810</v>
      </c>
      <c r="I229" s="8">
        <f t="shared" si="13"/>
        <v>10680</v>
      </c>
      <c r="J229" s="8" t="str">
        <f t="shared" si="14"/>
        <v/>
      </c>
      <c r="K229" s="8">
        <f t="shared" si="15"/>
        <v>117490</v>
      </c>
    </row>
    <row r="230" spans="2:11" hidden="1">
      <c r="B230" s="7">
        <v>41342</v>
      </c>
      <c r="C230" s="3" t="s">
        <v>43</v>
      </c>
      <c r="D230" s="6" t="s">
        <v>11</v>
      </c>
      <c r="E230" s="3" t="s">
        <v>0</v>
      </c>
      <c r="F230" s="5">
        <v>37</v>
      </c>
      <c r="G230" s="5">
        <v>2310</v>
      </c>
      <c r="H230" s="8">
        <f t="shared" si="12"/>
        <v>85470</v>
      </c>
      <c r="I230" s="8">
        <f t="shared" si="13"/>
        <v>8540</v>
      </c>
      <c r="J230" s="8">
        <f t="shared" si="14"/>
        <v>94010</v>
      </c>
      <c r="K230" s="8" t="str">
        <f t="shared" si="15"/>
        <v/>
      </c>
    </row>
    <row r="231" spans="2:11" hidden="1">
      <c r="B231" s="7">
        <v>41342</v>
      </c>
      <c r="C231" s="3" t="s">
        <v>43</v>
      </c>
      <c r="D231" s="6" t="s">
        <v>24</v>
      </c>
      <c r="E231" s="3" t="s">
        <v>0</v>
      </c>
      <c r="F231" s="5">
        <v>14</v>
      </c>
      <c r="G231" s="5">
        <v>3690</v>
      </c>
      <c r="H231" s="8">
        <f t="shared" si="12"/>
        <v>51660</v>
      </c>
      <c r="I231" s="8">
        <f t="shared" si="13"/>
        <v>5160</v>
      </c>
      <c r="J231" s="8">
        <f t="shared" si="14"/>
        <v>56820</v>
      </c>
      <c r="K231" s="8" t="str">
        <f t="shared" si="15"/>
        <v/>
      </c>
    </row>
    <row r="232" spans="2:11" hidden="1">
      <c r="B232" s="7">
        <v>41343</v>
      </c>
      <c r="C232" s="3" t="s">
        <v>39</v>
      </c>
      <c r="D232" s="6" t="s">
        <v>18</v>
      </c>
      <c r="E232" s="3" t="s">
        <v>1</v>
      </c>
      <c r="F232" s="5">
        <v>45</v>
      </c>
      <c r="G232" s="5">
        <v>10260</v>
      </c>
      <c r="H232" s="8">
        <f t="shared" si="12"/>
        <v>461700</v>
      </c>
      <c r="I232" s="8">
        <f t="shared" si="13"/>
        <v>46170</v>
      </c>
      <c r="J232" s="8">
        <f t="shared" si="14"/>
        <v>507870</v>
      </c>
      <c r="K232" s="8" t="str">
        <f t="shared" si="15"/>
        <v/>
      </c>
    </row>
    <row r="233" spans="2:11" hidden="1">
      <c r="B233" s="7">
        <v>41343</v>
      </c>
      <c r="C233" s="3" t="s">
        <v>37</v>
      </c>
      <c r="D233" s="6" t="s">
        <v>22</v>
      </c>
      <c r="E233" s="3" t="s">
        <v>0</v>
      </c>
      <c r="F233" s="5">
        <v>10</v>
      </c>
      <c r="G233" s="5">
        <v>2930</v>
      </c>
      <c r="H233" s="8">
        <f t="shared" si="12"/>
        <v>29300</v>
      </c>
      <c r="I233" s="8">
        <f t="shared" si="13"/>
        <v>2930</v>
      </c>
      <c r="J233" s="8">
        <f t="shared" si="14"/>
        <v>32230</v>
      </c>
      <c r="K233" s="8" t="str">
        <f t="shared" si="15"/>
        <v/>
      </c>
    </row>
    <row r="234" spans="2:11" hidden="1">
      <c r="B234" s="7">
        <v>41344</v>
      </c>
      <c r="C234" s="3" t="s">
        <v>40</v>
      </c>
      <c r="D234" s="6" t="s">
        <v>19</v>
      </c>
      <c r="E234" s="3" t="s">
        <v>12</v>
      </c>
      <c r="F234" s="5">
        <v>49</v>
      </c>
      <c r="G234" s="5">
        <v>9330</v>
      </c>
      <c r="H234" s="8">
        <f t="shared" si="12"/>
        <v>457170</v>
      </c>
      <c r="I234" s="8">
        <f t="shared" si="13"/>
        <v>45710</v>
      </c>
      <c r="J234" s="8" t="str">
        <f t="shared" si="14"/>
        <v/>
      </c>
      <c r="K234" s="8">
        <f t="shared" si="15"/>
        <v>502880</v>
      </c>
    </row>
    <row r="235" spans="2:11" hidden="1">
      <c r="B235" s="7">
        <v>41344</v>
      </c>
      <c r="C235" s="3" t="s">
        <v>41</v>
      </c>
      <c r="D235" s="6" t="s">
        <v>26</v>
      </c>
      <c r="E235" s="3" t="s">
        <v>0</v>
      </c>
      <c r="F235" s="5">
        <v>11</v>
      </c>
      <c r="G235" s="5">
        <v>2770</v>
      </c>
      <c r="H235" s="8">
        <f t="shared" si="12"/>
        <v>30470</v>
      </c>
      <c r="I235" s="8">
        <f t="shared" si="13"/>
        <v>3040</v>
      </c>
      <c r="J235" s="8">
        <f t="shared" si="14"/>
        <v>33510</v>
      </c>
      <c r="K235" s="8" t="str">
        <f t="shared" si="15"/>
        <v/>
      </c>
    </row>
    <row r="236" spans="2:11" hidden="1">
      <c r="B236" s="7">
        <v>41345</v>
      </c>
      <c r="C236" s="3" t="s">
        <v>40</v>
      </c>
      <c r="D236" s="6" t="s">
        <v>19</v>
      </c>
      <c r="E236" s="3" t="s">
        <v>0</v>
      </c>
      <c r="F236" s="5">
        <v>46</v>
      </c>
      <c r="G236" s="5">
        <v>3560</v>
      </c>
      <c r="H236" s="8">
        <f t="shared" si="12"/>
        <v>163760</v>
      </c>
      <c r="I236" s="8">
        <f t="shared" si="13"/>
        <v>16370</v>
      </c>
      <c r="J236" s="8">
        <f t="shared" si="14"/>
        <v>180130</v>
      </c>
      <c r="K236" s="8" t="str">
        <f t="shared" si="15"/>
        <v/>
      </c>
    </row>
    <row r="237" spans="2:11" hidden="1">
      <c r="B237" s="7">
        <v>41346</v>
      </c>
      <c r="C237" s="3" t="s">
        <v>43</v>
      </c>
      <c r="D237" s="6" t="s">
        <v>24</v>
      </c>
      <c r="E237" s="3" t="s">
        <v>12</v>
      </c>
      <c r="F237" s="5">
        <v>8</v>
      </c>
      <c r="G237" s="5">
        <v>6190</v>
      </c>
      <c r="H237" s="8">
        <f t="shared" si="12"/>
        <v>49520</v>
      </c>
      <c r="I237" s="8">
        <f t="shared" si="13"/>
        <v>4950</v>
      </c>
      <c r="J237" s="8" t="str">
        <f t="shared" si="14"/>
        <v/>
      </c>
      <c r="K237" s="8">
        <f t="shared" si="15"/>
        <v>54470</v>
      </c>
    </row>
    <row r="238" spans="2:11" hidden="1">
      <c r="B238" s="7">
        <v>41346</v>
      </c>
      <c r="C238" s="3" t="s">
        <v>41</v>
      </c>
      <c r="D238" s="6" t="s">
        <v>11</v>
      </c>
      <c r="E238" s="3" t="s">
        <v>0</v>
      </c>
      <c r="F238" s="5">
        <v>46</v>
      </c>
      <c r="G238" s="5">
        <v>4060</v>
      </c>
      <c r="H238" s="8">
        <f t="shared" si="12"/>
        <v>186760</v>
      </c>
      <c r="I238" s="8">
        <f t="shared" si="13"/>
        <v>18670</v>
      </c>
      <c r="J238" s="8">
        <f t="shared" si="14"/>
        <v>205430</v>
      </c>
      <c r="K238" s="8" t="str">
        <f t="shared" si="15"/>
        <v/>
      </c>
    </row>
    <row r="239" spans="2:11" hidden="1">
      <c r="B239" s="7">
        <v>41347</v>
      </c>
      <c r="C239" s="3" t="s">
        <v>38</v>
      </c>
      <c r="D239" s="6" t="s">
        <v>24</v>
      </c>
      <c r="E239" s="3" t="s">
        <v>0</v>
      </c>
      <c r="F239" s="5">
        <v>31</v>
      </c>
      <c r="G239" s="5">
        <v>4690</v>
      </c>
      <c r="H239" s="8">
        <f t="shared" si="12"/>
        <v>145390</v>
      </c>
      <c r="I239" s="8">
        <f t="shared" si="13"/>
        <v>14530</v>
      </c>
      <c r="J239" s="8">
        <f t="shared" si="14"/>
        <v>159920</v>
      </c>
      <c r="K239" s="8" t="str">
        <f t="shared" si="15"/>
        <v/>
      </c>
    </row>
    <row r="240" spans="2:11" hidden="1">
      <c r="B240" s="7">
        <v>41347</v>
      </c>
      <c r="C240" s="3" t="s">
        <v>41</v>
      </c>
      <c r="D240" s="6" t="s">
        <v>16</v>
      </c>
      <c r="E240" s="3" t="s">
        <v>0</v>
      </c>
      <c r="F240" s="5">
        <v>15</v>
      </c>
      <c r="G240" s="5">
        <v>7150</v>
      </c>
      <c r="H240" s="8">
        <f t="shared" si="12"/>
        <v>107250</v>
      </c>
      <c r="I240" s="8">
        <f t="shared" si="13"/>
        <v>10720</v>
      </c>
      <c r="J240" s="8">
        <f t="shared" si="14"/>
        <v>117970</v>
      </c>
      <c r="K240" s="8" t="str">
        <f t="shared" si="15"/>
        <v/>
      </c>
    </row>
    <row r="241" spans="2:11" hidden="1">
      <c r="B241" s="7">
        <v>41348</v>
      </c>
      <c r="C241" s="3" t="s">
        <v>43</v>
      </c>
      <c r="D241" s="6" t="s">
        <v>26</v>
      </c>
      <c r="E241" s="3" t="s">
        <v>12</v>
      </c>
      <c r="F241" s="5">
        <v>34</v>
      </c>
      <c r="G241" s="5">
        <v>6190</v>
      </c>
      <c r="H241" s="8">
        <f t="shared" si="12"/>
        <v>210460</v>
      </c>
      <c r="I241" s="8">
        <f t="shared" si="13"/>
        <v>21040</v>
      </c>
      <c r="J241" s="8" t="str">
        <f t="shared" si="14"/>
        <v/>
      </c>
      <c r="K241" s="8">
        <f t="shared" si="15"/>
        <v>231500</v>
      </c>
    </row>
    <row r="242" spans="2:11" hidden="1">
      <c r="B242" s="7">
        <v>41348</v>
      </c>
      <c r="C242" s="3" t="s">
        <v>40</v>
      </c>
      <c r="D242" s="6" t="s">
        <v>27</v>
      </c>
      <c r="E242" s="3" t="s">
        <v>12</v>
      </c>
      <c r="F242" s="5">
        <v>35</v>
      </c>
      <c r="G242" s="5">
        <v>8330</v>
      </c>
      <c r="H242" s="8">
        <f t="shared" si="12"/>
        <v>291550</v>
      </c>
      <c r="I242" s="8">
        <f t="shared" si="13"/>
        <v>29150</v>
      </c>
      <c r="J242" s="8" t="str">
        <f t="shared" si="14"/>
        <v/>
      </c>
      <c r="K242" s="8">
        <f t="shared" si="15"/>
        <v>320700</v>
      </c>
    </row>
    <row r="243" spans="2:11" hidden="1">
      <c r="B243" s="7">
        <v>41348</v>
      </c>
      <c r="C243" s="3" t="s">
        <v>45</v>
      </c>
      <c r="D243" s="6" t="s">
        <v>28</v>
      </c>
      <c r="E243" s="3" t="s">
        <v>1</v>
      </c>
      <c r="F243" s="5">
        <v>43</v>
      </c>
      <c r="G243" s="5">
        <v>12190</v>
      </c>
      <c r="H243" s="8">
        <f t="shared" si="12"/>
        <v>524170</v>
      </c>
      <c r="I243" s="8">
        <f t="shared" si="13"/>
        <v>52410</v>
      </c>
      <c r="J243" s="8">
        <f t="shared" si="14"/>
        <v>576580</v>
      </c>
      <c r="K243" s="8" t="str">
        <f t="shared" si="15"/>
        <v/>
      </c>
    </row>
    <row r="244" spans="2:11" hidden="1">
      <c r="B244" s="7">
        <v>41348</v>
      </c>
      <c r="C244" s="3" t="s">
        <v>41</v>
      </c>
      <c r="D244" s="6" t="s">
        <v>23</v>
      </c>
      <c r="E244" s="3" t="s">
        <v>0</v>
      </c>
      <c r="F244" s="5">
        <v>29</v>
      </c>
      <c r="G244" s="5">
        <v>1810</v>
      </c>
      <c r="H244" s="8">
        <f t="shared" si="12"/>
        <v>52490</v>
      </c>
      <c r="I244" s="8">
        <f t="shared" si="13"/>
        <v>5240</v>
      </c>
      <c r="J244" s="8">
        <f t="shared" si="14"/>
        <v>57730</v>
      </c>
      <c r="K244" s="8" t="str">
        <f t="shared" si="15"/>
        <v/>
      </c>
    </row>
    <row r="245" spans="2:11" hidden="1">
      <c r="B245" s="7">
        <v>41348</v>
      </c>
      <c r="C245" s="3" t="s">
        <v>36</v>
      </c>
      <c r="D245" s="6" t="s">
        <v>27</v>
      </c>
      <c r="E245" s="3" t="s">
        <v>0</v>
      </c>
      <c r="F245" s="5">
        <v>18</v>
      </c>
      <c r="G245" s="5">
        <v>3690</v>
      </c>
      <c r="H245" s="8">
        <f t="shared" si="12"/>
        <v>66420</v>
      </c>
      <c r="I245" s="8">
        <f t="shared" si="13"/>
        <v>6640</v>
      </c>
      <c r="J245" s="8">
        <f t="shared" si="14"/>
        <v>73060</v>
      </c>
      <c r="K245" s="8" t="str">
        <f t="shared" si="15"/>
        <v/>
      </c>
    </row>
    <row r="246" spans="2:11" hidden="1">
      <c r="B246" s="7">
        <v>41348</v>
      </c>
      <c r="C246" s="3" t="s">
        <v>37</v>
      </c>
      <c r="D246" s="6" t="s">
        <v>17</v>
      </c>
      <c r="E246" s="3" t="s">
        <v>0</v>
      </c>
      <c r="F246" s="5">
        <v>14</v>
      </c>
      <c r="G246" s="5">
        <v>14860</v>
      </c>
      <c r="H246" s="8">
        <f t="shared" si="12"/>
        <v>208040</v>
      </c>
      <c r="I246" s="8">
        <f t="shared" si="13"/>
        <v>20800</v>
      </c>
      <c r="J246" s="8">
        <f t="shared" si="14"/>
        <v>228840</v>
      </c>
      <c r="K246" s="8" t="str">
        <f t="shared" si="15"/>
        <v/>
      </c>
    </row>
    <row r="247" spans="2:11" hidden="1">
      <c r="B247" s="7">
        <v>41349</v>
      </c>
      <c r="C247" s="3" t="s">
        <v>42</v>
      </c>
      <c r="D247" s="6" t="s">
        <v>27</v>
      </c>
      <c r="E247" s="3" t="s">
        <v>12</v>
      </c>
      <c r="F247" s="5">
        <v>22</v>
      </c>
      <c r="G247" s="5">
        <v>10080</v>
      </c>
      <c r="H247" s="8">
        <f t="shared" si="12"/>
        <v>221760</v>
      </c>
      <c r="I247" s="8">
        <f t="shared" si="13"/>
        <v>22170</v>
      </c>
      <c r="J247" s="8" t="str">
        <f t="shared" si="14"/>
        <v/>
      </c>
      <c r="K247" s="8">
        <f t="shared" si="15"/>
        <v>243930</v>
      </c>
    </row>
    <row r="248" spans="2:11" hidden="1">
      <c r="B248" s="7">
        <v>41349</v>
      </c>
      <c r="C248" s="3" t="s">
        <v>38</v>
      </c>
      <c r="D248" s="6" t="s">
        <v>23</v>
      </c>
      <c r="E248" s="3" t="s">
        <v>0</v>
      </c>
      <c r="F248" s="5">
        <v>12</v>
      </c>
      <c r="G248" s="5">
        <v>3270</v>
      </c>
      <c r="H248" s="8">
        <f t="shared" si="12"/>
        <v>39240</v>
      </c>
      <c r="I248" s="8">
        <f t="shared" si="13"/>
        <v>3920</v>
      </c>
      <c r="J248" s="8">
        <f t="shared" si="14"/>
        <v>43160</v>
      </c>
      <c r="K248" s="8" t="str">
        <f t="shared" si="15"/>
        <v/>
      </c>
    </row>
    <row r="249" spans="2:11" hidden="1">
      <c r="B249" s="7">
        <v>41350</v>
      </c>
      <c r="C249" s="3" t="s">
        <v>36</v>
      </c>
      <c r="D249" s="6" t="s">
        <v>24</v>
      </c>
      <c r="E249" s="3" t="s">
        <v>12</v>
      </c>
      <c r="F249" s="5">
        <v>41</v>
      </c>
      <c r="G249" s="5">
        <v>9460</v>
      </c>
      <c r="H249" s="8">
        <f t="shared" si="12"/>
        <v>387860</v>
      </c>
      <c r="I249" s="8">
        <f t="shared" si="13"/>
        <v>38780</v>
      </c>
      <c r="J249" s="8" t="str">
        <f t="shared" si="14"/>
        <v/>
      </c>
      <c r="K249" s="8">
        <f t="shared" si="15"/>
        <v>426640</v>
      </c>
    </row>
    <row r="250" spans="2:11" hidden="1">
      <c r="B250" s="7">
        <v>41350</v>
      </c>
      <c r="C250" s="3" t="s">
        <v>36</v>
      </c>
      <c r="D250" s="6" t="s">
        <v>25</v>
      </c>
      <c r="E250" s="3" t="s">
        <v>12</v>
      </c>
      <c r="F250" s="5">
        <v>16</v>
      </c>
      <c r="G250" s="5">
        <v>10560</v>
      </c>
      <c r="H250" s="8">
        <f t="shared" si="12"/>
        <v>168960</v>
      </c>
      <c r="I250" s="8">
        <f t="shared" si="13"/>
        <v>16890</v>
      </c>
      <c r="J250" s="8" t="str">
        <f t="shared" si="14"/>
        <v/>
      </c>
      <c r="K250" s="8">
        <f t="shared" si="15"/>
        <v>185850</v>
      </c>
    </row>
    <row r="251" spans="2:11" hidden="1">
      <c r="B251" s="7">
        <v>41350</v>
      </c>
      <c r="C251" s="3" t="s">
        <v>37</v>
      </c>
      <c r="D251" s="6" t="s">
        <v>20</v>
      </c>
      <c r="E251" s="3" t="s">
        <v>0</v>
      </c>
      <c r="F251" s="5">
        <v>7</v>
      </c>
      <c r="G251" s="5">
        <v>5040</v>
      </c>
      <c r="H251" s="8">
        <f t="shared" si="12"/>
        <v>35280</v>
      </c>
      <c r="I251" s="8">
        <f t="shared" si="13"/>
        <v>3520</v>
      </c>
      <c r="J251" s="8">
        <f t="shared" si="14"/>
        <v>38800</v>
      </c>
      <c r="K251" s="8" t="str">
        <f t="shared" si="15"/>
        <v/>
      </c>
    </row>
    <row r="252" spans="2:11" hidden="1">
      <c r="B252" s="7">
        <v>41351</v>
      </c>
      <c r="C252" s="3" t="s">
        <v>39</v>
      </c>
      <c r="D252" s="6" t="s">
        <v>16</v>
      </c>
      <c r="E252" s="3" t="s">
        <v>0</v>
      </c>
      <c r="F252" s="5">
        <v>15</v>
      </c>
      <c r="G252" s="5">
        <v>3140</v>
      </c>
      <c r="H252" s="8">
        <f t="shared" si="12"/>
        <v>47100</v>
      </c>
      <c r="I252" s="8">
        <f t="shared" si="13"/>
        <v>4710</v>
      </c>
      <c r="J252" s="8">
        <f t="shared" si="14"/>
        <v>51810</v>
      </c>
      <c r="K252" s="8" t="str">
        <f t="shared" si="15"/>
        <v/>
      </c>
    </row>
    <row r="253" spans="2:11" hidden="1">
      <c r="B253" s="7">
        <v>41351</v>
      </c>
      <c r="C253" s="3" t="s">
        <v>44</v>
      </c>
      <c r="D253" s="6" t="s">
        <v>15</v>
      </c>
      <c r="E253" s="3" t="s">
        <v>0</v>
      </c>
      <c r="F253" s="5">
        <v>35</v>
      </c>
      <c r="G253" s="5">
        <v>4190</v>
      </c>
      <c r="H253" s="8">
        <f t="shared" si="12"/>
        <v>146650</v>
      </c>
      <c r="I253" s="8">
        <f t="shared" si="13"/>
        <v>14660</v>
      </c>
      <c r="J253" s="8">
        <f t="shared" si="14"/>
        <v>161310</v>
      </c>
      <c r="K253" s="8" t="str">
        <f t="shared" si="15"/>
        <v/>
      </c>
    </row>
    <row r="254" spans="2:11" hidden="1">
      <c r="B254" s="7">
        <v>41351</v>
      </c>
      <c r="C254" s="3" t="s">
        <v>41</v>
      </c>
      <c r="D254" s="6" t="s">
        <v>28</v>
      </c>
      <c r="E254" s="3" t="s">
        <v>0</v>
      </c>
      <c r="F254" s="5">
        <v>6</v>
      </c>
      <c r="G254" s="5">
        <v>6400</v>
      </c>
      <c r="H254" s="8">
        <f t="shared" si="12"/>
        <v>38400</v>
      </c>
      <c r="I254" s="8">
        <f t="shared" si="13"/>
        <v>3840</v>
      </c>
      <c r="J254" s="8">
        <f t="shared" si="14"/>
        <v>42240</v>
      </c>
      <c r="K254" s="8" t="str">
        <f t="shared" si="15"/>
        <v/>
      </c>
    </row>
    <row r="255" spans="2:11" hidden="1">
      <c r="B255" s="7">
        <v>41352</v>
      </c>
      <c r="C255" s="3" t="s">
        <v>39</v>
      </c>
      <c r="D255" s="6" t="s">
        <v>29</v>
      </c>
      <c r="E255" s="3" t="s">
        <v>12</v>
      </c>
      <c r="F255" s="5">
        <v>12</v>
      </c>
      <c r="G255" s="5">
        <v>5820</v>
      </c>
      <c r="H255" s="8">
        <f t="shared" si="12"/>
        <v>69840</v>
      </c>
      <c r="I255" s="8">
        <f t="shared" si="13"/>
        <v>6980</v>
      </c>
      <c r="J255" s="8" t="str">
        <f t="shared" si="14"/>
        <v/>
      </c>
      <c r="K255" s="8">
        <f t="shared" si="15"/>
        <v>76820</v>
      </c>
    </row>
    <row r="256" spans="2:11" hidden="1">
      <c r="B256" s="7">
        <v>41352</v>
      </c>
      <c r="C256" s="3" t="s">
        <v>43</v>
      </c>
      <c r="D256" s="6" t="s">
        <v>19</v>
      </c>
      <c r="E256" s="3" t="s">
        <v>0</v>
      </c>
      <c r="F256" s="5">
        <v>20</v>
      </c>
      <c r="G256" s="5">
        <v>3400</v>
      </c>
      <c r="H256" s="8">
        <f t="shared" si="12"/>
        <v>68000</v>
      </c>
      <c r="I256" s="8">
        <f t="shared" si="13"/>
        <v>6800</v>
      </c>
      <c r="J256" s="8">
        <f t="shared" si="14"/>
        <v>74800</v>
      </c>
      <c r="K256" s="8" t="str">
        <f t="shared" si="15"/>
        <v/>
      </c>
    </row>
    <row r="257" spans="2:11" hidden="1">
      <c r="B257" s="7">
        <v>41352</v>
      </c>
      <c r="C257" s="3" t="s">
        <v>36</v>
      </c>
      <c r="D257" s="6" t="s">
        <v>18</v>
      </c>
      <c r="E257" s="3" t="s">
        <v>0</v>
      </c>
      <c r="F257" s="5">
        <v>35</v>
      </c>
      <c r="G257" s="5">
        <v>3870</v>
      </c>
      <c r="H257" s="8">
        <f t="shared" si="12"/>
        <v>135450</v>
      </c>
      <c r="I257" s="8">
        <f t="shared" si="13"/>
        <v>13540</v>
      </c>
      <c r="J257" s="8">
        <f t="shared" si="14"/>
        <v>148990</v>
      </c>
      <c r="K257" s="8" t="str">
        <f t="shared" si="15"/>
        <v/>
      </c>
    </row>
    <row r="258" spans="2:11" hidden="1">
      <c r="B258" s="7">
        <v>41352</v>
      </c>
      <c r="C258" s="3" t="s">
        <v>45</v>
      </c>
      <c r="D258" s="6" t="s">
        <v>23</v>
      </c>
      <c r="E258" s="3" t="s">
        <v>0</v>
      </c>
      <c r="F258" s="5">
        <v>22</v>
      </c>
      <c r="G258" s="5">
        <v>2310</v>
      </c>
      <c r="H258" s="8">
        <f t="shared" si="12"/>
        <v>50820</v>
      </c>
      <c r="I258" s="8">
        <f t="shared" si="13"/>
        <v>5080</v>
      </c>
      <c r="J258" s="8">
        <f t="shared" si="14"/>
        <v>55900</v>
      </c>
      <c r="K258" s="8" t="str">
        <f t="shared" si="15"/>
        <v/>
      </c>
    </row>
    <row r="259" spans="2:11" hidden="1">
      <c r="B259" s="7">
        <v>41353</v>
      </c>
      <c r="C259" s="3" t="s">
        <v>40</v>
      </c>
      <c r="D259" s="6" t="s">
        <v>20</v>
      </c>
      <c r="E259" s="3" t="s">
        <v>12</v>
      </c>
      <c r="F259" s="5">
        <v>12</v>
      </c>
      <c r="G259" s="5">
        <v>8920</v>
      </c>
      <c r="H259" s="8">
        <f t="shared" si="12"/>
        <v>107040</v>
      </c>
      <c r="I259" s="8">
        <f t="shared" si="13"/>
        <v>10700</v>
      </c>
      <c r="J259" s="8" t="str">
        <f t="shared" si="14"/>
        <v/>
      </c>
      <c r="K259" s="8">
        <f t="shared" si="15"/>
        <v>117740</v>
      </c>
    </row>
    <row r="260" spans="2:11" hidden="1">
      <c r="B260" s="7">
        <v>41353</v>
      </c>
      <c r="C260" s="3" t="s">
        <v>41</v>
      </c>
      <c r="D260" s="6" t="s">
        <v>23</v>
      </c>
      <c r="E260" s="3" t="s">
        <v>12</v>
      </c>
      <c r="F260" s="5">
        <v>49</v>
      </c>
      <c r="G260" s="5">
        <v>10080</v>
      </c>
      <c r="H260" s="8">
        <f t="shared" si="12"/>
        <v>493920</v>
      </c>
      <c r="I260" s="8">
        <f t="shared" si="13"/>
        <v>49390</v>
      </c>
      <c r="J260" s="8" t="str">
        <f t="shared" si="14"/>
        <v/>
      </c>
      <c r="K260" s="8">
        <f t="shared" si="15"/>
        <v>543310</v>
      </c>
    </row>
    <row r="261" spans="2:11" hidden="1">
      <c r="B261" s="7">
        <v>41353</v>
      </c>
      <c r="C261" s="3" t="s">
        <v>39</v>
      </c>
      <c r="D261" s="6" t="s">
        <v>25</v>
      </c>
      <c r="E261" s="3" t="s">
        <v>0</v>
      </c>
      <c r="F261" s="5">
        <v>23</v>
      </c>
      <c r="G261" s="5">
        <v>1350</v>
      </c>
      <c r="H261" s="8">
        <f t="shared" si="12"/>
        <v>31050</v>
      </c>
      <c r="I261" s="8">
        <f t="shared" si="13"/>
        <v>3100</v>
      </c>
      <c r="J261" s="8">
        <f t="shared" si="14"/>
        <v>34150</v>
      </c>
      <c r="K261" s="8" t="str">
        <f t="shared" si="15"/>
        <v/>
      </c>
    </row>
    <row r="262" spans="2:11" hidden="1">
      <c r="B262" s="7">
        <v>41353</v>
      </c>
      <c r="C262" s="3" t="s">
        <v>42</v>
      </c>
      <c r="D262" s="6" t="s">
        <v>22</v>
      </c>
      <c r="E262" s="3" t="s">
        <v>0</v>
      </c>
      <c r="F262" s="5">
        <v>6</v>
      </c>
      <c r="G262" s="5">
        <v>4060</v>
      </c>
      <c r="H262" s="8">
        <f t="shared" si="12"/>
        <v>24360</v>
      </c>
      <c r="I262" s="8">
        <f t="shared" si="13"/>
        <v>2430</v>
      </c>
      <c r="J262" s="8">
        <f t="shared" si="14"/>
        <v>26790</v>
      </c>
      <c r="K262" s="8" t="str">
        <f t="shared" si="15"/>
        <v/>
      </c>
    </row>
    <row r="263" spans="2:11" hidden="1">
      <c r="B263" s="7">
        <v>41354</v>
      </c>
      <c r="C263" s="3" t="s">
        <v>36</v>
      </c>
      <c r="D263" s="6" t="s">
        <v>21</v>
      </c>
      <c r="E263" s="3" t="s">
        <v>12</v>
      </c>
      <c r="F263" s="5">
        <v>39</v>
      </c>
      <c r="G263" s="5">
        <v>7700</v>
      </c>
      <c r="H263" s="8">
        <f t="shared" si="12"/>
        <v>300300</v>
      </c>
      <c r="I263" s="8">
        <f t="shared" si="13"/>
        <v>30030</v>
      </c>
      <c r="J263" s="8" t="str">
        <f t="shared" si="14"/>
        <v/>
      </c>
      <c r="K263" s="8">
        <f t="shared" si="15"/>
        <v>330330</v>
      </c>
    </row>
    <row r="264" spans="2:11" hidden="1">
      <c r="B264" s="7">
        <v>41354</v>
      </c>
      <c r="C264" s="3" t="s">
        <v>37</v>
      </c>
      <c r="D264" s="6" t="s">
        <v>20</v>
      </c>
      <c r="E264" s="3" t="s">
        <v>12</v>
      </c>
      <c r="F264" s="5">
        <v>36</v>
      </c>
      <c r="G264" s="5">
        <v>10660</v>
      </c>
      <c r="H264" s="8">
        <f t="shared" si="12"/>
        <v>383760</v>
      </c>
      <c r="I264" s="8">
        <f t="shared" si="13"/>
        <v>38370</v>
      </c>
      <c r="J264" s="8" t="str">
        <f t="shared" si="14"/>
        <v/>
      </c>
      <c r="K264" s="8">
        <f t="shared" si="15"/>
        <v>422130</v>
      </c>
    </row>
    <row r="265" spans="2:11" hidden="1">
      <c r="B265" s="7">
        <v>41354</v>
      </c>
      <c r="C265" s="3" t="s">
        <v>39</v>
      </c>
      <c r="D265" s="6" t="s">
        <v>16</v>
      </c>
      <c r="E265" s="3" t="s">
        <v>0</v>
      </c>
      <c r="F265" s="5">
        <v>45</v>
      </c>
      <c r="G265" s="5">
        <v>6250</v>
      </c>
      <c r="H265" s="8">
        <f t="shared" si="12"/>
        <v>281250</v>
      </c>
      <c r="I265" s="8">
        <f t="shared" si="13"/>
        <v>28120</v>
      </c>
      <c r="J265" s="8">
        <f t="shared" si="14"/>
        <v>309370</v>
      </c>
      <c r="K265" s="8" t="str">
        <f t="shared" si="15"/>
        <v/>
      </c>
    </row>
    <row r="266" spans="2:11" hidden="1">
      <c r="B266" s="7">
        <v>41355</v>
      </c>
      <c r="C266" s="3" t="s">
        <v>38</v>
      </c>
      <c r="D266" s="6" t="s">
        <v>24</v>
      </c>
      <c r="E266" s="3" t="s">
        <v>12</v>
      </c>
      <c r="F266" s="5">
        <v>42</v>
      </c>
      <c r="G266" s="5">
        <v>6190</v>
      </c>
      <c r="H266" s="8">
        <f t="shared" si="12"/>
        <v>259980</v>
      </c>
      <c r="I266" s="8">
        <f t="shared" si="13"/>
        <v>25990</v>
      </c>
      <c r="J266" s="8" t="str">
        <f t="shared" si="14"/>
        <v/>
      </c>
      <c r="K266" s="8">
        <f t="shared" si="15"/>
        <v>285970</v>
      </c>
    </row>
    <row r="267" spans="2:11" hidden="1">
      <c r="B267" s="7">
        <v>41355</v>
      </c>
      <c r="C267" s="3" t="s">
        <v>40</v>
      </c>
      <c r="D267" s="6" t="s">
        <v>26</v>
      </c>
      <c r="E267" s="3" t="s">
        <v>12</v>
      </c>
      <c r="F267" s="5">
        <v>35</v>
      </c>
      <c r="G267" s="5">
        <v>6950</v>
      </c>
      <c r="H267" s="8">
        <f t="shared" si="12"/>
        <v>243250</v>
      </c>
      <c r="I267" s="8">
        <f t="shared" si="13"/>
        <v>24320</v>
      </c>
      <c r="J267" s="8" t="str">
        <f t="shared" si="14"/>
        <v/>
      </c>
      <c r="K267" s="8">
        <f t="shared" si="15"/>
        <v>267570</v>
      </c>
    </row>
    <row r="268" spans="2:11" hidden="1">
      <c r="B268" s="7">
        <v>41355</v>
      </c>
      <c r="C268" s="3" t="s">
        <v>40</v>
      </c>
      <c r="D268" s="6" t="s">
        <v>29</v>
      </c>
      <c r="E268" s="3" t="s">
        <v>0</v>
      </c>
      <c r="F268" s="5">
        <v>5</v>
      </c>
      <c r="G268" s="5">
        <v>3650</v>
      </c>
      <c r="H268" s="8">
        <f t="shared" si="12"/>
        <v>18250</v>
      </c>
      <c r="I268" s="8">
        <f t="shared" si="13"/>
        <v>1820</v>
      </c>
      <c r="J268" s="8">
        <f t="shared" si="14"/>
        <v>20070</v>
      </c>
      <c r="K268" s="8" t="str">
        <f t="shared" si="15"/>
        <v/>
      </c>
    </row>
    <row r="269" spans="2:11" hidden="1">
      <c r="B269" s="7">
        <v>41355</v>
      </c>
      <c r="C269" s="3" t="s">
        <v>37</v>
      </c>
      <c r="D269" s="6" t="s">
        <v>19</v>
      </c>
      <c r="E269" s="3" t="s">
        <v>0</v>
      </c>
      <c r="F269" s="5">
        <v>25</v>
      </c>
      <c r="G269" s="5">
        <v>1930</v>
      </c>
      <c r="H269" s="8">
        <f t="shared" ref="H269:H332" si="16">F269*G269</f>
        <v>48250</v>
      </c>
      <c r="I269" s="8">
        <f t="shared" ref="I269:I332" si="17">TRUNC(H269*10%,-1)</f>
        <v>4820</v>
      </c>
      <c r="J269" s="8">
        <f t="shared" ref="J269:J332" si="18">IF(E269="매입",H269+I269,"")</f>
        <v>53070</v>
      </c>
      <c r="K269" s="8" t="str">
        <f t="shared" ref="K269:K332" si="19">IF(E269="매출",H269+I269,"")</f>
        <v/>
      </c>
    </row>
    <row r="270" spans="2:11" hidden="1">
      <c r="B270" s="7">
        <v>41355</v>
      </c>
      <c r="C270" s="3" t="s">
        <v>41</v>
      </c>
      <c r="D270" s="6" t="s">
        <v>20</v>
      </c>
      <c r="E270" s="3" t="s">
        <v>0</v>
      </c>
      <c r="F270" s="5">
        <v>11</v>
      </c>
      <c r="G270" s="5">
        <v>5040</v>
      </c>
      <c r="H270" s="8">
        <f t="shared" si="16"/>
        <v>55440</v>
      </c>
      <c r="I270" s="8">
        <f t="shared" si="17"/>
        <v>5540</v>
      </c>
      <c r="J270" s="8">
        <f t="shared" si="18"/>
        <v>60980</v>
      </c>
      <c r="K270" s="8" t="str">
        <f t="shared" si="19"/>
        <v/>
      </c>
    </row>
    <row r="271" spans="2:11" hidden="1">
      <c r="B271" s="7">
        <v>41355</v>
      </c>
      <c r="C271" s="3" t="s">
        <v>44</v>
      </c>
      <c r="D271" s="6" t="s">
        <v>17</v>
      </c>
      <c r="E271" s="3" t="s">
        <v>0</v>
      </c>
      <c r="F271" s="5">
        <v>48</v>
      </c>
      <c r="G271" s="5">
        <v>13220</v>
      </c>
      <c r="H271" s="8">
        <f t="shared" si="16"/>
        <v>634560</v>
      </c>
      <c r="I271" s="8">
        <f t="shared" si="17"/>
        <v>63450</v>
      </c>
      <c r="J271" s="8">
        <f t="shared" si="18"/>
        <v>698010</v>
      </c>
      <c r="K271" s="8" t="str">
        <f t="shared" si="19"/>
        <v/>
      </c>
    </row>
    <row r="272" spans="2:11" hidden="1">
      <c r="B272" s="7">
        <v>41356</v>
      </c>
      <c r="C272" s="3" t="s">
        <v>40</v>
      </c>
      <c r="D272" s="6" t="s">
        <v>21</v>
      </c>
      <c r="E272" s="3" t="s">
        <v>12</v>
      </c>
      <c r="F272" s="5">
        <v>22</v>
      </c>
      <c r="G272" s="5">
        <v>6570</v>
      </c>
      <c r="H272" s="8">
        <f t="shared" si="16"/>
        <v>144540</v>
      </c>
      <c r="I272" s="8">
        <f t="shared" si="17"/>
        <v>14450</v>
      </c>
      <c r="J272" s="8" t="str">
        <f t="shared" si="18"/>
        <v/>
      </c>
      <c r="K272" s="8">
        <f t="shared" si="19"/>
        <v>158990</v>
      </c>
    </row>
    <row r="273" spans="2:11" hidden="1">
      <c r="B273" s="7">
        <v>41356</v>
      </c>
      <c r="C273" s="3" t="s">
        <v>39</v>
      </c>
      <c r="D273" s="6" t="s">
        <v>17</v>
      </c>
      <c r="E273" s="3" t="s">
        <v>12</v>
      </c>
      <c r="F273" s="5">
        <v>16</v>
      </c>
      <c r="G273" s="5">
        <v>22120</v>
      </c>
      <c r="H273" s="8">
        <f t="shared" si="16"/>
        <v>353920</v>
      </c>
      <c r="I273" s="8">
        <f t="shared" si="17"/>
        <v>35390</v>
      </c>
      <c r="J273" s="8" t="str">
        <f t="shared" si="18"/>
        <v/>
      </c>
      <c r="K273" s="8">
        <f t="shared" si="19"/>
        <v>389310</v>
      </c>
    </row>
    <row r="274" spans="2:11" hidden="1">
      <c r="B274" s="7">
        <v>41356</v>
      </c>
      <c r="C274" s="3" t="s">
        <v>37</v>
      </c>
      <c r="D274" s="6" t="s">
        <v>26</v>
      </c>
      <c r="E274" s="3" t="s">
        <v>0</v>
      </c>
      <c r="F274" s="5">
        <v>23</v>
      </c>
      <c r="G274" s="5">
        <v>2180</v>
      </c>
      <c r="H274" s="8">
        <f t="shared" si="16"/>
        <v>50140</v>
      </c>
      <c r="I274" s="8">
        <f t="shared" si="17"/>
        <v>5010</v>
      </c>
      <c r="J274" s="8">
        <f t="shared" si="18"/>
        <v>55150</v>
      </c>
      <c r="K274" s="8" t="str">
        <f t="shared" si="19"/>
        <v/>
      </c>
    </row>
    <row r="275" spans="2:11" hidden="1">
      <c r="B275" s="7">
        <v>41356</v>
      </c>
      <c r="C275" s="3" t="s">
        <v>45</v>
      </c>
      <c r="D275" s="6" t="s">
        <v>24</v>
      </c>
      <c r="E275" s="3" t="s">
        <v>0</v>
      </c>
      <c r="F275" s="5">
        <v>28</v>
      </c>
      <c r="G275" s="5">
        <v>4060</v>
      </c>
      <c r="H275" s="8">
        <f t="shared" si="16"/>
        <v>113680</v>
      </c>
      <c r="I275" s="8">
        <f t="shared" si="17"/>
        <v>11360</v>
      </c>
      <c r="J275" s="8">
        <f t="shared" si="18"/>
        <v>125040</v>
      </c>
      <c r="K275" s="8" t="str">
        <f t="shared" si="19"/>
        <v/>
      </c>
    </row>
    <row r="276" spans="2:11" hidden="1">
      <c r="B276" s="7">
        <v>41356</v>
      </c>
      <c r="C276" s="3" t="s">
        <v>45</v>
      </c>
      <c r="D276" s="6" t="s">
        <v>28</v>
      </c>
      <c r="E276" s="3" t="s">
        <v>0</v>
      </c>
      <c r="F276" s="5">
        <v>29</v>
      </c>
      <c r="G276" s="5">
        <v>6700</v>
      </c>
      <c r="H276" s="8">
        <f t="shared" si="16"/>
        <v>194300</v>
      </c>
      <c r="I276" s="8">
        <f t="shared" si="17"/>
        <v>19430</v>
      </c>
      <c r="J276" s="8">
        <f t="shared" si="18"/>
        <v>213730</v>
      </c>
      <c r="K276" s="8" t="str">
        <f t="shared" si="19"/>
        <v/>
      </c>
    </row>
    <row r="277" spans="2:11" hidden="1">
      <c r="B277" s="7">
        <v>41357</v>
      </c>
      <c r="C277" s="3" t="s">
        <v>43</v>
      </c>
      <c r="D277" s="6" t="s">
        <v>23</v>
      </c>
      <c r="E277" s="3" t="s">
        <v>12</v>
      </c>
      <c r="F277" s="5">
        <v>33</v>
      </c>
      <c r="G277" s="5">
        <v>6450</v>
      </c>
      <c r="H277" s="8">
        <f t="shared" si="16"/>
        <v>212850</v>
      </c>
      <c r="I277" s="8">
        <f t="shared" si="17"/>
        <v>21280</v>
      </c>
      <c r="J277" s="8" t="str">
        <f t="shared" si="18"/>
        <v/>
      </c>
      <c r="K277" s="8">
        <f t="shared" si="19"/>
        <v>234130</v>
      </c>
    </row>
    <row r="278" spans="2:11" hidden="1">
      <c r="B278" s="7">
        <v>41357</v>
      </c>
      <c r="C278" s="3" t="s">
        <v>45</v>
      </c>
      <c r="D278" s="6" t="s">
        <v>23</v>
      </c>
      <c r="E278" s="3" t="s">
        <v>12</v>
      </c>
      <c r="F278" s="5">
        <v>12</v>
      </c>
      <c r="G278" s="5">
        <v>8830</v>
      </c>
      <c r="H278" s="8">
        <f t="shared" si="16"/>
        <v>105960</v>
      </c>
      <c r="I278" s="8">
        <f t="shared" si="17"/>
        <v>10590</v>
      </c>
      <c r="J278" s="8" t="str">
        <f t="shared" si="18"/>
        <v/>
      </c>
      <c r="K278" s="8">
        <f t="shared" si="19"/>
        <v>116550</v>
      </c>
    </row>
    <row r="279" spans="2:11" hidden="1">
      <c r="B279" s="7">
        <v>41357</v>
      </c>
      <c r="C279" s="3" t="s">
        <v>40</v>
      </c>
      <c r="D279" s="6" t="s">
        <v>18</v>
      </c>
      <c r="E279" s="3" t="s">
        <v>0</v>
      </c>
      <c r="F279" s="5">
        <v>45</v>
      </c>
      <c r="G279" s="5">
        <v>3960</v>
      </c>
      <c r="H279" s="8">
        <f t="shared" si="16"/>
        <v>178200</v>
      </c>
      <c r="I279" s="8">
        <f t="shared" si="17"/>
        <v>17820</v>
      </c>
      <c r="J279" s="8">
        <f t="shared" si="18"/>
        <v>196020</v>
      </c>
      <c r="K279" s="8" t="str">
        <f t="shared" si="19"/>
        <v/>
      </c>
    </row>
    <row r="280" spans="2:11" hidden="1">
      <c r="B280" s="7">
        <v>41357</v>
      </c>
      <c r="C280" s="3" t="s">
        <v>44</v>
      </c>
      <c r="D280" s="6" t="s">
        <v>15</v>
      </c>
      <c r="E280" s="3" t="s">
        <v>0</v>
      </c>
      <c r="F280" s="5">
        <v>40</v>
      </c>
      <c r="G280" s="5">
        <v>5070</v>
      </c>
      <c r="H280" s="8">
        <f t="shared" si="16"/>
        <v>202800</v>
      </c>
      <c r="I280" s="8">
        <f t="shared" si="17"/>
        <v>20280</v>
      </c>
      <c r="J280" s="8">
        <f t="shared" si="18"/>
        <v>223080</v>
      </c>
      <c r="K280" s="8" t="str">
        <f t="shared" si="19"/>
        <v/>
      </c>
    </row>
    <row r="281" spans="2:11" hidden="1">
      <c r="B281" s="7">
        <v>41358</v>
      </c>
      <c r="C281" s="3" t="s">
        <v>36</v>
      </c>
      <c r="D281" s="6" t="s">
        <v>15</v>
      </c>
      <c r="E281" s="3" t="s">
        <v>12</v>
      </c>
      <c r="F281" s="5">
        <v>16</v>
      </c>
      <c r="G281" s="5">
        <v>8950</v>
      </c>
      <c r="H281" s="8">
        <f t="shared" si="16"/>
        <v>143200</v>
      </c>
      <c r="I281" s="8">
        <f t="shared" si="17"/>
        <v>14320</v>
      </c>
      <c r="J281" s="8" t="str">
        <f t="shared" si="18"/>
        <v/>
      </c>
      <c r="K281" s="8">
        <f t="shared" si="19"/>
        <v>157520</v>
      </c>
    </row>
    <row r="282" spans="2:11" hidden="1">
      <c r="B282" s="7">
        <v>41358</v>
      </c>
      <c r="C282" s="3" t="s">
        <v>37</v>
      </c>
      <c r="D282" s="6" t="s">
        <v>21</v>
      </c>
      <c r="E282" s="3" t="s">
        <v>0</v>
      </c>
      <c r="F282" s="5">
        <v>50</v>
      </c>
      <c r="G282" s="5">
        <v>3520</v>
      </c>
      <c r="H282" s="8">
        <f t="shared" si="16"/>
        <v>176000</v>
      </c>
      <c r="I282" s="8">
        <f t="shared" si="17"/>
        <v>17600</v>
      </c>
      <c r="J282" s="8">
        <f t="shared" si="18"/>
        <v>193600</v>
      </c>
      <c r="K282" s="8" t="str">
        <f t="shared" si="19"/>
        <v/>
      </c>
    </row>
    <row r="283" spans="2:11" hidden="1">
      <c r="B283" s="7">
        <v>41358</v>
      </c>
      <c r="C283" s="3" t="s">
        <v>45</v>
      </c>
      <c r="D283" s="6" t="s">
        <v>25</v>
      </c>
      <c r="E283" s="3" t="s">
        <v>0</v>
      </c>
      <c r="F283" s="5">
        <v>47</v>
      </c>
      <c r="G283" s="5">
        <v>1650</v>
      </c>
      <c r="H283" s="8">
        <f t="shared" si="16"/>
        <v>77550</v>
      </c>
      <c r="I283" s="8">
        <f t="shared" si="17"/>
        <v>7750</v>
      </c>
      <c r="J283" s="8">
        <f t="shared" si="18"/>
        <v>85300</v>
      </c>
      <c r="K283" s="8" t="str">
        <f t="shared" si="19"/>
        <v/>
      </c>
    </row>
    <row r="284" spans="2:11" hidden="1">
      <c r="B284" s="7">
        <v>41359</v>
      </c>
      <c r="C284" s="3" t="s">
        <v>42</v>
      </c>
      <c r="D284" s="6" t="s">
        <v>20</v>
      </c>
      <c r="E284" s="3" t="s">
        <v>1</v>
      </c>
      <c r="F284" s="5">
        <v>45</v>
      </c>
      <c r="G284" s="5">
        <v>9460</v>
      </c>
      <c r="H284" s="8">
        <f t="shared" si="16"/>
        <v>425700</v>
      </c>
      <c r="I284" s="8">
        <f t="shared" si="17"/>
        <v>42570</v>
      </c>
      <c r="J284" s="8">
        <f t="shared" si="18"/>
        <v>468270</v>
      </c>
      <c r="K284" s="8" t="str">
        <f t="shared" si="19"/>
        <v/>
      </c>
    </row>
    <row r="285" spans="2:11" hidden="1">
      <c r="B285" s="7">
        <v>41359</v>
      </c>
      <c r="C285" s="3" t="s">
        <v>39</v>
      </c>
      <c r="D285" s="6" t="s">
        <v>22</v>
      </c>
      <c r="E285" s="3" t="s">
        <v>0</v>
      </c>
      <c r="F285" s="5">
        <v>45</v>
      </c>
      <c r="G285" s="5">
        <v>5070</v>
      </c>
      <c r="H285" s="8">
        <f t="shared" si="16"/>
        <v>228150</v>
      </c>
      <c r="I285" s="8">
        <f t="shared" si="17"/>
        <v>22810</v>
      </c>
      <c r="J285" s="8">
        <f t="shared" si="18"/>
        <v>250960</v>
      </c>
      <c r="K285" s="8" t="str">
        <f t="shared" si="19"/>
        <v/>
      </c>
    </row>
    <row r="286" spans="2:11" hidden="1">
      <c r="B286" s="7">
        <v>41360</v>
      </c>
      <c r="C286" s="3" t="s">
        <v>39</v>
      </c>
      <c r="D286" s="6" t="s">
        <v>29</v>
      </c>
      <c r="E286" s="3" t="s">
        <v>12</v>
      </c>
      <c r="F286" s="5">
        <v>33</v>
      </c>
      <c r="G286" s="5">
        <v>7320</v>
      </c>
      <c r="H286" s="8">
        <f t="shared" si="16"/>
        <v>241560</v>
      </c>
      <c r="I286" s="8">
        <f t="shared" si="17"/>
        <v>24150</v>
      </c>
      <c r="J286" s="8" t="str">
        <f t="shared" si="18"/>
        <v/>
      </c>
      <c r="K286" s="8">
        <f t="shared" si="19"/>
        <v>265710</v>
      </c>
    </row>
    <row r="287" spans="2:11" hidden="1">
      <c r="B287" s="7">
        <v>41360</v>
      </c>
      <c r="C287" s="3" t="s">
        <v>42</v>
      </c>
      <c r="D287" s="6" t="s">
        <v>26</v>
      </c>
      <c r="E287" s="3" t="s">
        <v>0</v>
      </c>
      <c r="F287" s="5">
        <v>9</v>
      </c>
      <c r="G287" s="5">
        <v>2900</v>
      </c>
      <c r="H287" s="8">
        <f t="shared" si="16"/>
        <v>26100</v>
      </c>
      <c r="I287" s="8">
        <f t="shared" si="17"/>
        <v>2610</v>
      </c>
      <c r="J287" s="8">
        <f t="shared" si="18"/>
        <v>28710</v>
      </c>
      <c r="K287" s="8" t="str">
        <f t="shared" si="19"/>
        <v/>
      </c>
    </row>
    <row r="288" spans="2:11" hidden="1">
      <c r="B288" s="7">
        <v>41361</v>
      </c>
      <c r="C288" s="3" t="s">
        <v>45</v>
      </c>
      <c r="D288" s="6" t="s">
        <v>17</v>
      </c>
      <c r="E288" s="3" t="s">
        <v>12</v>
      </c>
      <c r="F288" s="5">
        <v>36</v>
      </c>
      <c r="G288" s="5">
        <v>20010</v>
      </c>
      <c r="H288" s="8">
        <f t="shared" si="16"/>
        <v>720360</v>
      </c>
      <c r="I288" s="8">
        <f t="shared" si="17"/>
        <v>72030</v>
      </c>
      <c r="J288" s="8" t="str">
        <f t="shared" si="18"/>
        <v/>
      </c>
      <c r="K288" s="8">
        <f t="shared" si="19"/>
        <v>792390</v>
      </c>
    </row>
    <row r="289" spans="2:11" hidden="1">
      <c r="B289" s="7">
        <v>41361</v>
      </c>
      <c r="C289" s="3" t="s">
        <v>37</v>
      </c>
      <c r="D289" s="6" t="s">
        <v>25</v>
      </c>
      <c r="E289" s="3" t="s">
        <v>0</v>
      </c>
      <c r="F289" s="5">
        <v>31</v>
      </c>
      <c r="G289" s="5">
        <v>1650</v>
      </c>
      <c r="H289" s="8">
        <f t="shared" si="16"/>
        <v>51150</v>
      </c>
      <c r="I289" s="8">
        <f t="shared" si="17"/>
        <v>5110</v>
      </c>
      <c r="J289" s="8">
        <f t="shared" si="18"/>
        <v>56260</v>
      </c>
      <c r="K289" s="8" t="str">
        <f t="shared" si="19"/>
        <v/>
      </c>
    </row>
    <row r="290" spans="2:11" hidden="1">
      <c r="B290" s="7">
        <v>41361</v>
      </c>
      <c r="C290" s="3" t="s">
        <v>43</v>
      </c>
      <c r="D290" s="6" t="s">
        <v>13</v>
      </c>
      <c r="E290" s="3" t="s">
        <v>0</v>
      </c>
      <c r="F290" s="5">
        <v>17</v>
      </c>
      <c r="G290" s="5">
        <v>3160</v>
      </c>
      <c r="H290" s="8">
        <f t="shared" si="16"/>
        <v>53720</v>
      </c>
      <c r="I290" s="8">
        <f t="shared" si="17"/>
        <v>5370</v>
      </c>
      <c r="J290" s="8">
        <f t="shared" si="18"/>
        <v>59090</v>
      </c>
      <c r="K290" s="8" t="str">
        <f t="shared" si="19"/>
        <v/>
      </c>
    </row>
    <row r="291" spans="2:11" hidden="1">
      <c r="B291" s="7">
        <v>41362</v>
      </c>
      <c r="C291" s="3" t="s">
        <v>44</v>
      </c>
      <c r="D291" s="6" t="s">
        <v>25</v>
      </c>
      <c r="E291" s="3" t="s">
        <v>12</v>
      </c>
      <c r="F291" s="5">
        <v>41</v>
      </c>
      <c r="G291" s="5">
        <v>7890</v>
      </c>
      <c r="H291" s="8">
        <f t="shared" si="16"/>
        <v>323490</v>
      </c>
      <c r="I291" s="8">
        <f t="shared" si="17"/>
        <v>32340</v>
      </c>
      <c r="J291" s="8" t="str">
        <f t="shared" si="18"/>
        <v/>
      </c>
      <c r="K291" s="8">
        <f t="shared" si="19"/>
        <v>355830</v>
      </c>
    </row>
    <row r="292" spans="2:11" hidden="1">
      <c r="B292" s="7">
        <v>41362</v>
      </c>
      <c r="C292" s="3" t="s">
        <v>40</v>
      </c>
      <c r="D292" s="6" t="s">
        <v>15</v>
      </c>
      <c r="E292" s="3" t="s">
        <v>12</v>
      </c>
      <c r="F292" s="5">
        <v>22</v>
      </c>
      <c r="G292" s="5">
        <v>10080</v>
      </c>
      <c r="H292" s="8">
        <f t="shared" si="16"/>
        <v>221760</v>
      </c>
      <c r="I292" s="8">
        <f t="shared" si="17"/>
        <v>22170</v>
      </c>
      <c r="J292" s="8" t="str">
        <f t="shared" si="18"/>
        <v/>
      </c>
      <c r="K292" s="8">
        <f t="shared" si="19"/>
        <v>243930</v>
      </c>
    </row>
    <row r="293" spans="2:11" hidden="1">
      <c r="B293" s="7">
        <v>41362</v>
      </c>
      <c r="C293" s="3" t="s">
        <v>36</v>
      </c>
      <c r="D293" s="6" t="s">
        <v>17</v>
      </c>
      <c r="E293" s="3" t="s">
        <v>12</v>
      </c>
      <c r="F293" s="5">
        <v>25</v>
      </c>
      <c r="G293" s="5">
        <v>19070</v>
      </c>
      <c r="H293" s="8">
        <f t="shared" si="16"/>
        <v>476750</v>
      </c>
      <c r="I293" s="8">
        <f t="shared" si="17"/>
        <v>47670</v>
      </c>
      <c r="J293" s="8" t="str">
        <f t="shared" si="18"/>
        <v/>
      </c>
      <c r="K293" s="8">
        <f t="shared" si="19"/>
        <v>524420</v>
      </c>
    </row>
    <row r="294" spans="2:11" hidden="1">
      <c r="B294" s="7">
        <v>41362</v>
      </c>
      <c r="C294" s="3" t="s">
        <v>42</v>
      </c>
      <c r="D294" s="6" t="s">
        <v>11</v>
      </c>
      <c r="E294" s="3" t="s">
        <v>0</v>
      </c>
      <c r="F294" s="5">
        <v>30</v>
      </c>
      <c r="G294" s="5">
        <v>3400</v>
      </c>
      <c r="H294" s="8">
        <f t="shared" si="16"/>
        <v>102000</v>
      </c>
      <c r="I294" s="8">
        <f t="shared" si="17"/>
        <v>10200</v>
      </c>
      <c r="J294" s="8">
        <f t="shared" si="18"/>
        <v>112200</v>
      </c>
      <c r="K294" s="8" t="str">
        <f t="shared" si="19"/>
        <v/>
      </c>
    </row>
    <row r="295" spans="2:11" hidden="1">
      <c r="B295" s="7">
        <v>41362</v>
      </c>
      <c r="C295" s="3" t="s">
        <v>45</v>
      </c>
      <c r="D295" s="6" t="s">
        <v>20</v>
      </c>
      <c r="E295" s="3" t="s">
        <v>0</v>
      </c>
      <c r="F295" s="5">
        <v>40</v>
      </c>
      <c r="G295" s="5">
        <v>5170</v>
      </c>
      <c r="H295" s="8">
        <f t="shared" si="16"/>
        <v>206800</v>
      </c>
      <c r="I295" s="8">
        <f t="shared" si="17"/>
        <v>20680</v>
      </c>
      <c r="J295" s="8">
        <f t="shared" si="18"/>
        <v>227480</v>
      </c>
      <c r="K295" s="8" t="str">
        <f t="shared" si="19"/>
        <v/>
      </c>
    </row>
    <row r="296" spans="2:11" hidden="1">
      <c r="B296" s="7">
        <v>41363</v>
      </c>
      <c r="C296" s="3" t="s">
        <v>38</v>
      </c>
      <c r="D296" s="6" t="s">
        <v>24</v>
      </c>
      <c r="E296" s="3" t="s">
        <v>12</v>
      </c>
      <c r="F296" s="5">
        <v>12</v>
      </c>
      <c r="G296" s="5">
        <v>6320</v>
      </c>
      <c r="H296" s="8">
        <f t="shared" si="16"/>
        <v>75840</v>
      </c>
      <c r="I296" s="8">
        <f t="shared" si="17"/>
        <v>7580</v>
      </c>
      <c r="J296" s="8" t="str">
        <f t="shared" si="18"/>
        <v/>
      </c>
      <c r="K296" s="8">
        <f t="shared" si="19"/>
        <v>83420</v>
      </c>
    </row>
    <row r="297" spans="2:11" hidden="1">
      <c r="B297" s="7">
        <v>41363</v>
      </c>
      <c r="C297" s="3" t="s">
        <v>42</v>
      </c>
      <c r="D297" s="6" t="s">
        <v>26</v>
      </c>
      <c r="E297" s="3" t="s">
        <v>0</v>
      </c>
      <c r="F297" s="5">
        <v>30</v>
      </c>
      <c r="G297" s="5">
        <v>2180</v>
      </c>
      <c r="H297" s="8">
        <f t="shared" si="16"/>
        <v>65400</v>
      </c>
      <c r="I297" s="8">
        <f t="shared" si="17"/>
        <v>6540</v>
      </c>
      <c r="J297" s="8">
        <f t="shared" si="18"/>
        <v>71940</v>
      </c>
      <c r="K297" s="8" t="str">
        <f t="shared" si="19"/>
        <v/>
      </c>
    </row>
    <row r="298" spans="2:11" hidden="1">
      <c r="B298" s="7">
        <v>41363</v>
      </c>
      <c r="C298" s="3" t="s">
        <v>38</v>
      </c>
      <c r="D298" s="6" t="s">
        <v>23</v>
      </c>
      <c r="E298" s="3" t="s">
        <v>0</v>
      </c>
      <c r="F298" s="5">
        <v>11</v>
      </c>
      <c r="G298" s="5">
        <v>2560</v>
      </c>
      <c r="H298" s="8">
        <f t="shared" si="16"/>
        <v>28160</v>
      </c>
      <c r="I298" s="8">
        <f t="shared" si="17"/>
        <v>2810</v>
      </c>
      <c r="J298" s="8">
        <f t="shared" si="18"/>
        <v>30970</v>
      </c>
      <c r="K298" s="8" t="str">
        <f t="shared" si="19"/>
        <v/>
      </c>
    </row>
    <row r="299" spans="2:11" hidden="1">
      <c r="B299" s="7">
        <v>41364</v>
      </c>
      <c r="C299" s="3" t="s">
        <v>38</v>
      </c>
      <c r="D299" s="6" t="s">
        <v>11</v>
      </c>
      <c r="E299" s="3" t="s">
        <v>0</v>
      </c>
      <c r="F299" s="5">
        <v>11</v>
      </c>
      <c r="G299" s="5">
        <v>3650</v>
      </c>
      <c r="H299" s="8">
        <f t="shared" si="16"/>
        <v>40150</v>
      </c>
      <c r="I299" s="8">
        <f t="shared" si="17"/>
        <v>4010</v>
      </c>
      <c r="J299" s="8">
        <f t="shared" si="18"/>
        <v>44160</v>
      </c>
      <c r="K299" s="8" t="str">
        <f t="shared" si="19"/>
        <v/>
      </c>
    </row>
    <row r="300" spans="2:11" hidden="1">
      <c r="B300" s="7">
        <v>41365</v>
      </c>
      <c r="C300" s="3" t="s">
        <v>39</v>
      </c>
      <c r="D300" s="6" t="s">
        <v>26</v>
      </c>
      <c r="E300" s="3" t="s">
        <v>12</v>
      </c>
      <c r="F300" s="5">
        <v>13</v>
      </c>
      <c r="G300" s="5">
        <v>7950</v>
      </c>
      <c r="H300" s="8">
        <f t="shared" si="16"/>
        <v>103350</v>
      </c>
      <c r="I300" s="8">
        <f t="shared" si="17"/>
        <v>10330</v>
      </c>
      <c r="J300" s="8" t="str">
        <f t="shared" si="18"/>
        <v/>
      </c>
      <c r="K300" s="8">
        <f t="shared" si="19"/>
        <v>113680</v>
      </c>
    </row>
    <row r="301" spans="2:11" hidden="1">
      <c r="B301" s="7">
        <v>41365</v>
      </c>
      <c r="C301" s="3" t="s">
        <v>44</v>
      </c>
      <c r="D301" s="6" t="s">
        <v>14</v>
      </c>
      <c r="E301" s="3" t="s">
        <v>0</v>
      </c>
      <c r="F301" s="5">
        <v>22</v>
      </c>
      <c r="G301" s="5">
        <v>2710</v>
      </c>
      <c r="H301" s="8">
        <f t="shared" si="16"/>
        <v>59620</v>
      </c>
      <c r="I301" s="8">
        <f t="shared" si="17"/>
        <v>5960</v>
      </c>
      <c r="J301" s="8">
        <f t="shared" si="18"/>
        <v>65580</v>
      </c>
      <c r="K301" s="8" t="str">
        <f t="shared" si="19"/>
        <v/>
      </c>
    </row>
    <row r="302" spans="2:11" hidden="1">
      <c r="B302" s="7">
        <v>41365</v>
      </c>
      <c r="C302" s="3" t="s">
        <v>36</v>
      </c>
      <c r="D302" s="6" t="s">
        <v>29</v>
      </c>
      <c r="E302" s="3" t="s">
        <v>0</v>
      </c>
      <c r="F302" s="5">
        <v>7</v>
      </c>
      <c r="G302" s="5">
        <v>4440</v>
      </c>
      <c r="H302" s="8">
        <f t="shared" si="16"/>
        <v>31080</v>
      </c>
      <c r="I302" s="8">
        <f t="shared" si="17"/>
        <v>3100</v>
      </c>
      <c r="J302" s="8">
        <f t="shared" si="18"/>
        <v>34180</v>
      </c>
      <c r="K302" s="8" t="str">
        <f t="shared" si="19"/>
        <v/>
      </c>
    </row>
    <row r="303" spans="2:11" hidden="1">
      <c r="B303" s="7">
        <v>41366</v>
      </c>
      <c r="C303" s="3" t="s">
        <v>37</v>
      </c>
      <c r="D303" s="6" t="s">
        <v>20</v>
      </c>
      <c r="E303" s="3" t="s">
        <v>0</v>
      </c>
      <c r="F303" s="5">
        <v>41</v>
      </c>
      <c r="G303" s="5">
        <v>3200</v>
      </c>
      <c r="H303" s="8">
        <f t="shared" si="16"/>
        <v>131200</v>
      </c>
      <c r="I303" s="8">
        <f t="shared" si="17"/>
        <v>13120</v>
      </c>
      <c r="J303" s="8">
        <f t="shared" si="18"/>
        <v>144320</v>
      </c>
      <c r="K303" s="8" t="str">
        <f t="shared" si="19"/>
        <v/>
      </c>
    </row>
    <row r="304" spans="2:11" hidden="1">
      <c r="B304" s="7">
        <v>41366</v>
      </c>
      <c r="C304" s="3" t="s">
        <v>38</v>
      </c>
      <c r="D304" s="6" t="s">
        <v>15</v>
      </c>
      <c r="E304" s="3" t="s">
        <v>0</v>
      </c>
      <c r="F304" s="5">
        <v>8</v>
      </c>
      <c r="G304" s="5">
        <v>3770</v>
      </c>
      <c r="H304" s="8">
        <f t="shared" si="16"/>
        <v>30160</v>
      </c>
      <c r="I304" s="8">
        <f t="shared" si="17"/>
        <v>3010</v>
      </c>
      <c r="J304" s="8">
        <f t="shared" si="18"/>
        <v>33170</v>
      </c>
      <c r="K304" s="8" t="str">
        <f t="shared" si="19"/>
        <v/>
      </c>
    </row>
    <row r="305" spans="2:11" hidden="1">
      <c r="B305" s="7">
        <v>41366</v>
      </c>
      <c r="C305" s="3" t="s">
        <v>38</v>
      </c>
      <c r="D305" s="6" t="s">
        <v>24</v>
      </c>
      <c r="E305" s="3" t="s">
        <v>0</v>
      </c>
      <c r="F305" s="5">
        <v>47</v>
      </c>
      <c r="G305" s="5">
        <v>3190</v>
      </c>
      <c r="H305" s="8">
        <f t="shared" si="16"/>
        <v>149930</v>
      </c>
      <c r="I305" s="8">
        <f t="shared" si="17"/>
        <v>14990</v>
      </c>
      <c r="J305" s="8">
        <f t="shared" si="18"/>
        <v>164920</v>
      </c>
      <c r="K305" s="8" t="str">
        <f t="shared" si="19"/>
        <v/>
      </c>
    </row>
    <row r="306" spans="2:11" hidden="1">
      <c r="B306" s="7">
        <v>41367</v>
      </c>
      <c r="C306" s="3" t="s">
        <v>45</v>
      </c>
      <c r="D306" s="6" t="s">
        <v>16</v>
      </c>
      <c r="E306" s="3" t="s">
        <v>1</v>
      </c>
      <c r="F306" s="5">
        <v>44</v>
      </c>
      <c r="G306" s="5">
        <v>11600</v>
      </c>
      <c r="H306" s="8">
        <f t="shared" si="16"/>
        <v>510400</v>
      </c>
      <c r="I306" s="8">
        <f t="shared" si="17"/>
        <v>51040</v>
      </c>
      <c r="J306" s="8">
        <f t="shared" si="18"/>
        <v>561440</v>
      </c>
      <c r="K306" s="8" t="str">
        <f t="shared" si="19"/>
        <v/>
      </c>
    </row>
    <row r="307" spans="2:11" hidden="1">
      <c r="B307" s="7">
        <v>41367</v>
      </c>
      <c r="C307" s="3" t="s">
        <v>38</v>
      </c>
      <c r="D307" s="6" t="s">
        <v>17</v>
      </c>
      <c r="E307" s="3" t="s">
        <v>12</v>
      </c>
      <c r="F307" s="5">
        <v>43</v>
      </c>
      <c r="G307" s="5">
        <v>18140</v>
      </c>
      <c r="H307" s="8">
        <f t="shared" si="16"/>
        <v>780020</v>
      </c>
      <c r="I307" s="8">
        <f t="shared" si="17"/>
        <v>78000</v>
      </c>
      <c r="J307" s="8" t="str">
        <f t="shared" si="18"/>
        <v/>
      </c>
      <c r="K307" s="8">
        <f t="shared" si="19"/>
        <v>858020</v>
      </c>
    </row>
    <row r="308" spans="2:11" hidden="1">
      <c r="B308" s="7">
        <v>41367</v>
      </c>
      <c r="C308" s="3" t="s">
        <v>42</v>
      </c>
      <c r="D308" s="6" t="s">
        <v>26</v>
      </c>
      <c r="E308" s="3" t="s">
        <v>0</v>
      </c>
      <c r="F308" s="5">
        <v>31</v>
      </c>
      <c r="G308" s="5">
        <v>2180</v>
      </c>
      <c r="H308" s="8">
        <f t="shared" si="16"/>
        <v>67580</v>
      </c>
      <c r="I308" s="8">
        <f t="shared" si="17"/>
        <v>6750</v>
      </c>
      <c r="J308" s="8">
        <f t="shared" si="18"/>
        <v>74330</v>
      </c>
      <c r="K308" s="8" t="str">
        <f t="shared" si="19"/>
        <v/>
      </c>
    </row>
    <row r="309" spans="2:11" hidden="1">
      <c r="B309" s="7">
        <v>41368</v>
      </c>
      <c r="C309" s="3" t="s">
        <v>39</v>
      </c>
      <c r="D309" s="6" t="s">
        <v>22</v>
      </c>
      <c r="E309" s="3" t="s">
        <v>12</v>
      </c>
      <c r="F309" s="5">
        <v>42</v>
      </c>
      <c r="G309" s="5">
        <v>7700</v>
      </c>
      <c r="H309" s="8">
        <f t="shared" si="16"/>
        <v>323400</v>
      </c>
      <c r="I309" s="8">
        <f t="shared" si="17"/>
        <v>32340</v>
      </c>
      <c r="J309" s="8" t="str">
        <f t="shared" si="18"/>
        <v/>
      </c>
      <c r="K309" s="8">
        <f t="shared" si="19"/>
        <v>355740</v>
      </c>
    </row>
    <row r="310" spans="2:11" hidden="1">
      <c r="B310" s="7">
        <v>41368</v>
      </c>
      <c r="C310" s="3" t="s">
        <v>42</v>
      </c>
      <c r="D310" s="6" t="s">
        <v>16</v>
      </c>
      <c r="E310" s="3" t="s">
        <v>12</v>
      </c>
      <c r="F310" s="5">
        <v>16</v>
      </c>
      <c r="G310" s="5">
        <v>10710</v>
      </c>
      <c r="H310" s="8">
        <f t="shared" si="16"/>
        <v>171360</v>
      </c>
      <c r="I310" s="8">
        <f t="shared" si="17"/>
        <v>17130</v>
      </c>
      <c r="J310" s="8" t="str">
        <f t="shared" si="18"/>
        <v/>
      </c>
      <c r="K310" s="8">
        <f t="shared" si="19"/>
        <v>188490</v>
      </c>
    </row>
    <row r="311" spans="2:11" hidden="1">
      <c r="B311" s="7">
        <v>41368</v>
      </c>
      <c r="C311" s="3" t="s">
        <v>44</v>
      </c>
      <c r="D311" s="6" t="s">
        <v>26</v>
      </c>
      <c r="E311" s="3" t="s">
        <v>0</v>
      </c>
      <c r="F311" s="5">
        <v>31</v>
      </c>
      <c r="G311" s="5">
        <v>2430</v>
      </c>
      <c r="H311" s="8">
        <f t="shared" si="16"/>
        <v>75330</v>
      </c>
      <c r="I311" s="8">
        <f t="shared" si="17"/>
        <v>7530</v>
      </c>
      <c r="J311" s="8">
        <f t="shared" si="18"/>
        <v>82860</v>
      </c>
      <c r="K311" s="8" t="str">
        <f t="shared" si="19"/>
        <v/>
      </c>
    </row>
    <row r="312" spans="2:11" hidden="1">
      <c r="B312" s="7">
        <v>41368</v>
      </c>
      <c r="C312" s="3" t="s">
        <v>40</v>
      </c>
      <c r="D312" s="6" t="s">
        <v>21</v>
      </c>
      <c r="E312" s="3" t="s">
        <v>0</v>
      </c>
      <c r="F312" s="5">
        <v>28</v>
      </c>
      <c r="G312" s="5">
        <v>3310</v>
      </c>
      <c r="H312" s="8">
        <f t="shared" si="16"/>
        <v>92680</v>
      </c>
      <c r="I312" s="8">
        <f t="shared" si="17"/>
        <v>9260</v>
      </c>
      <c r="J312" s="8">
        <f t="shared" si="18"/>
        <v>101940</v>
      </c>
      <c r="K312" s="8" t="str">
        <f t="shared" si="19"/>
        <v/>
      </c>
    </row>
    <row r="313" spans="2:11" hidden="1">
      <c r="B313" s="7">
        <v>41369</v>
      </c>
      <c r="C313" s="3" t="s">
        <v>38</v>
      </c>
      <c r="D313" s="6" t="s">
        <v>24</v>
      </c>
      <c r="E313" s="3" t="s">
        <v>1</v>
      </c>
      <c r="F313" s="5">
        <v>30</v>
      </c>
      <c r="G313" s="5">
        <v>6820</v>
      </c>
      <c r="H313" s="8">
        <f t="shared" si="16"/>
        <v>204600</v>
      </c>
      <c r="I313" s="8">
        <f t="shared" si="17"/>
        <v>20460</v>
      </c>
      <c r="J313" s="8">
        <f t="shared" si="18"/>
        <v>225060</v>
      </c>
      <c r="K313" s="8" t="str">
        <f t="shared" si="19"/>
        <v/>
      </c>
    </row>
    <row r="314" spans="2:11" hidden="1">
      <c r="B314" s="7">
        <v>41369</v>
      </c>
      <c r="C314" s="3" t="s">
        <v>42</v>
      </c>
      <c r="D314" s="6" t="s">
        <v>18</v>
      </c>
      <c r="E314" s="3" t="s">
        <v>12</v>
      </c>
      <c r="F314" s="5">
        <v>8</v>
      </c>
      <c r="G314" s="5">
        <v>9320</v>
      </c>
      <c r="H314" s="8">
        <f t="shared" si="16"/>
        <v>74560</v>
      </c>
      <c r="I314" s="8">
        <f t="shared" si="17"/>
        <v>7450</v>
      </c>
      <c r="J314" s="8" t="str">
        <f t="shared" si="18"/>
        <v/>
      </c>
      <c r="K314" s="8">
        <f t="shared" si="19"/>
        <v>82010</v>
      </c>
    </row>
    <row r="315" spans="2:11" hidden="1">
      <c r="B315" s="7">
        <v>41369</v>
      </c>
      <c r="C315" s="3" t="s">
        <v>43</v>
      </c>
      <c r="D315" s="6" t="s">
        <v>21</v>
      </c>
      <c r="E315" s="3" t="s">
        <v>12</v>
      </c>
      <c r="F315" s="5">
        <v>32</v>
      </c>
      <c r="G315" s="5">
        <v>9580</v>
      </c>
      <c r="H315" s="8">
        <f t="shared" si="16"/>
        <v>306560</v>
      </c>
      <c r="I315" s="8">
        <f t="shared" si="17"/>
        <v>30650</v>
      </c>
      <c r="J315" s="8" t="str">
        <f t="shared" si="18"/>
        <v/>
      </c>
      <c r="K315" s="8">
        <f t="shared" si="19"/>
        <v>337210</v>
      </c>
    </row>
    <row r="316" spans="2:11" hidden="1">
      <c r="B316" s="7">
        <v>41370</v>
      </c>
      <c r="C316" s="3" t="s">
        <v>40</v>
      </c>
      <c r="D316" s="6" t="s">
        <v>20</v>
      </c>
      <c r="E316" s="3" t="s">
        <v>1</v>
      </c>
      <c r="F316" s="5">
        <v>48</v>
      </c>
      <c r="G316" s="5">
        <v>9320</v>
      </c>
      <c r="H316" s="8">
        <f t="shared" si="16"/>
        <v>447360</v>
      </c>
      <c r="I316" s="8">
        <f t="shared" si="17"/>
        <v>44730</v>
      </c>
      <c r="J316" s="8">
        <f t="shared" si="18"/>
        <v>492090</v>
      </c>
      <c r="K316" s="8" t="str">
        <f t="shared" si="19"/>
        <v/>
      </c>
    </row>
    <row r="317" spans="2:11" hidden="1">
      <c r="B317" s="7">
        <v>41370</v>
      </c>
      <c r="C317" s="3" t="s">
        <v>42</v>
      </c>
      <c r="D317" s="6" t="s">
        <v>15</v>
      </c>
      <c r="E317" s="3" t="s">
        <v>0</v>
      </c>
      <c r="F317" s="5">
        <v>16</v>
      </c>
      <c r="G317" s="5">
        <v>3150</v>
      </c>
      <c r="H317" s="8">
        <f t="shared" si="16"/>
        <v>50400</v>
      </c>
      <c r="I317" s="8">
        <f t="shared" si="17"/>
        <v>5040</v>
      </c>
      <c r="J317" s="8">
        <f t="shared" si="18"/>
        <v>55440</v>
      </c>
      <c r="K317" s="8" t="str">
        <f t="shared" si="19"/>
        <v/>
      </c>
    </row>
    <row r="318" spans="2:11" hidden="1">
      <c r="B318" s="7">
        <v>41370</v>
      </c>
      <c r="C318" s="3" t="s">
        <v>40</v>
      </c>
      <c r="D318" s="6" t="s">
        <v>26</v>
      </c>
      <c r="E318" s="3" t="s">
        <v>0</v>
      </c>
      <c r="F318" s="5">
        <v>36</v>
      </c>
      <c r="G318" s="5">
        <v>3900</v>
      </c>
      <c r="H318" s="8">
        <f t="shared" si="16"/>
        <v>140400</v>
      </c>
      <c r="I318" s="8">
        <f t="shared" si="17"/>
        <v>14040</v>
      </c>
      <c r="J318" s="8">
        <f t="shared" si="18"/>
        <v>154440</v>
      </c>
      <c r="K318" s="8" t="str">
        <f t="shared" si="19"/>
        <v/>
      </c>
    </row>
    <row r="319" spans="2:11" hidden="1">
      <c r="B319" s="7">
        <v>41370</v>
      </c>
      <c r="C319" s="3" t="s">
        <v>37</v>
      </c>
      <c r="D319" s="6" t="s">
        <v>29</v>
      </c>
      <c r="E319" s="3" t="s">
        <v>0</v>
      </c>
      <c r="F319" s="5">
        <v>13</v>
      </c>
      <c r="G319" s="5">
        <v>4940</v>
      </c>
      <c r="H319" s="8">
        <f t="shared" si="16"/>
        <v>64220</v>
      </c>
      <c r="I319" s="8">
        <f t="shared" si="17"/>
        <v>6420</v>
      </c>
      <c r="J319" s="8">
        <f t="shared" si="18"/>
        <v>70640</v>
      </c>
      <c r="K319" s="8" t="str">
        <f t="shared" si="19"/>
        <v/>
      </c>
    </row>
    <row r="320" spans="2:11" hidden="1">
      <c r="B320" s="7">
        <v>41371</v>
      </c>
      <c r="C320" s="3" t="s">
        <v>36</v>
      </c>
      <c r="D320" s="6" t="s">
        <v>13</v>
      </c>
      <c r="E320" s="3" t="s">
        <v>0</v>
      </c>
      <c r="F320" s="5">
        <v>40</v>
      </c>
      <c r="G320" s="5">
        <v>4000</v>
      </c>
      <c r="H320" s="8">
        <f t="shared" si="16"/>
        <v>160000</v>
      </c>
      <c r="I320" s="8">
        <f t="shared" si="17"/>
        <v>16000</v>
      </c>
      <c r="J320" s="8">
        <f t="shared" si="18"/>
        <v>176000</v>
      </c>
      <c r="K320" s="8" t="str">
        <f t="shared" si="19"/>
        <v/>
      </c>
    </row>
    <row r="321" spans="2:11" hidden="1">
      <c r="B321" s="7">
        <v>41371</v>
      </c>
      <c r="C321" s="3" t="s">
        <v>36</v>
      </c>
      <c r="D321" s="6" t="s">
        <v>28</v>
      </c>
      <c r="E321" s="3" t="s">
        <v>0</v>
      </c>
      <c r="F321" s="5">
        <v>19</v>
      </c>
      <c r="G321" s="5">
        <v>1650</v>
      </c>
      <c r="H321" s="8">
        <f t="shared" si="16"/>
        <v>31350</v>
      </c>
      <c r="I321" s="8">
        <f t="shared" si="17"/>
        <v>3130</v>
      </c>
      <c r="J321" s="8">
        <f t="shared" si="18"/>
        <v>34480</v>
      </c>
      <c r="K321" s="8" t="str">
        <f t="shared" si="19"/>
        <v/>
      </c>
    </row>
    <row r="322" spans="2:11" hidden="1">
      <c r="B322" s="7">
        <v>41371</v>
      </c>
      <c r="C322" s="3" t="s">
        <v>41</v>
      </c>
      <c r="D322" s="6" t="s">
        <v>11</v>
      </c>
      <c r="E322" s="3" t="s">
        <v>0</v>
      </c>
      <c r="F322" s="5">
        <v>8</v>
      </c>
      <c r="G322" s="5">
        <v>3690</v>
      </c>
      <c r="H322" s="8">
        <f t="shared" si="16"/>
        <v>29520</v>
      </c>
      <c r="I322" s="8">
        <f t="shared" si="17"/>
        <v>2950</v>
      </c>
      <c r="J322" s="8">
        <f t="shared" si="18"/>
        <v>32470</v>
      </c>
      <c r="K322" s="8" t="str">
        <f t="shared" si="19"/>
        <v/>
      </c>
    </row>
    <row r="323" spans="2:11" hidden="1">
      <c r="B323" s="7">
        <v>41372</v>
      </c>
      <c r="C323" s="3" t="s">
        <v>39</v>
      </c>
      <c r="D323" s="6" t="s">
        <v>28</v>
      </c>
      <c r="E323" s="3" t="s">
        <v>0</v>
      </c>
      <c r="F323" s="5">
        <v>22</v>
      </c>
      <c r="G323" s="5">
        <v>4620</v>
      </c>
      <c r="H323" s="8">
        <f t="shared" si="16"/>
        <v>101640</v>
      </c>
      <c r="I323" s="8">
        <f t="shared" si="17"/>
        <v>10160</v>
      </c>
      <c r="J323" s="8">
        <f t="shared" si="18"/>
        <v>111800</v>
      </c>
      <c r="K323" s="8" t="str">
        <f t="shared" si="19"/>
        <v/>
      </c>
    </row>
    <row r="324" spans="2:11" hidden="1">
      <c r="B324" s="7">
        <v>41372</v>
      </c>
      <c r="C324" s="3" t="s">
        <v>44</v>
      </c>
      <c r="D324" s="6" t="s">
        <v>25</v>
      </c>
      <c r="E324" s="3" t="s">
        <v>0</v>
      </c>
      <c r="F324" s="5">
        <v>23</v>
      </c>
      <c r="G324" s="5">
        <v>5660</v>
      </c>
      <c r="H324" s="8">
        <f t="shared" si="16"/>
        <v>130180</v>
      </c>
      <c r="I324" s="8">
        <f t="shared" si="17"/>
        <v>13010</v>
      </c>
      <c r="J324" s="8">
        <f t="shared" si="18"/>
        <v>143190</v>
      </c>
      <c r="K324" s="8" t="str">
        <f t="shared" si="19"/>
        <v/>
      </c>
    </row>
    <row r="325" spans="2:11" hidden="1">
      <c r="B325" s="7">
        <v>41373</v>
      </c>
      <c r="C325" s="3" t="s">
        <v>45</v>
      </c>
      <c r="D325" s="6" t="s">
        <v>13</v>
      </c>
      <c r="E325" s="3" t="s">
        <v>1</v>
      </c>
      <c r="F325" s="5">
        <v>44</v>
      </c>
      <c r="G325" s="5">
        <v>7450</v>
      </c>
      <c r="H325" s="8">
        <f t="shared" si="16"/>
        <v>327800</v>
      </c>
      <c r="I325" s="8">
        <f t="shared" si="17"/>
        <v>32780</v>
      </c>
      <c r="J325" s="8">
        <f t="shared" si="18"/>
        <v>360580</v>
      </c>
      <c r="K325" s="8" t="str">
        <f t="shared" si="19"/>
        <v/>
      </c>
    </row>
    <row r="326" spans="2:11" hidden="1">
      <c r="B326" s="7">
        <v>41373</v>
      </c>
      <c r="C326" s="3" t="s">
        <v>37</v>
      </c>
      <c r="D326" s="6" t="s">
        <v>26</v>
      </c>
      <c r="E326" s="3" t="s">
        <v>12</v>
      </c>
      <c r="F326" s="5">
        <v>19</v>
      </c>
      <c r="G326" s="5">
        <v>8450</v>
      </c>
      <c r="H326" s="8">
        <f t="shared" si="16"/>
        <v>160550</v>
      </c>
      <c r="I326" s="8">
        <f t="shared" si="17"/>
        <v>16050</v>
      </c>
      <c r="J326" s="8" t="str">
        <f t="shared" si="18"/>
        <v/>
      </c>
      <c r="K326" s="8">
        <f t="shared" si="19"/>
        <v>176600</v>
      </c>
    </row>
    <row r="327" spans="2:11" hidden="1">
      <c r="B327" s="7">
        <v>41373</v>
      </c>
      <c r="C327" s="3" t="s">
        <v>37</v>
      </c>
      <c r="D327" s="6" t="s">
        <v>11</v>
      </c>
      <c r="E327" s="3" t="s">
        <v>0</v>
      </c>
      <c r="F327" s="5">
        <v>23</v>
      </c>
      <c r="G327" s="5">
        <v>1930</v>
      </c>
      <c r="H327" s="8">
        <f t="shared" si="16"/>
        <v>44390</v>
      </c>
      <c r="I327" s="8">
        <f t="shared" si="17"/>
        <v>4430</v>
      </c>
      <c r="J327" s="8">
        <f t="shared" si="18"/>
        <v>48820</v>
      </c>
      <c r="K327" s="8" t="str">
        <f t="shared" si="19"/>
        <v/>
      </c>
    </row>
    <row r="328" spans="2:11" hidden="1">
      <c r="B328" s="7">
        <v>41374</v>
      </c>
      <c r="C328" s="3" t="s">
        <v>44</v>
      </c>
      <c r="D328" s="6" t="s">
        <v>25</v>
      </c>
      <c r="E328" s="3" t="s">
        <v>12</v>
      </c>
      <c r="F328" s="5">
        <v>28</v>
      </c>
      <c r="G328" s="5">
        <v>7890</v>
      </c>
      <c r="H328" s="8">
        <f t="shared" si="16"/>
        <v>220920</v>
      </c>
      <c r="I328" s="8">
        <f t="shared" si="17"/>
        <v>22090</v>
      </c>
      <c r="J328" s="8" t="str">
        <f t="shared" si="18"/>
        <v/>
      </c>
      <c r="K328" s="8">
        <f t="shared" si="19"/>
        <v>243010</v>
      </c>
    </row>
    <row r="329" spans="2:11" hidden="1">
      <c r="B329" s="7">
        <v>41374</v>
      </c>
      <c r="C329" s="3" t="s">
        <v>38</v>
      </c>
      <c r="D329" s="6" t="s">
        <v>13</v>
      </c>
      <c r="E329" s="3" t="s">
        <v>12</v>
      </c>
      <c r="F329" s="5">
        <v>40</v>
      </c>
      <c r="G329" s="5">
        <v>8250</v>
      </c>
      <c r="H329" s="8">
        <f t="shared" si="16"/>
        <v>330000</v>
      </c>
      <c r="I329" s="8">
        <f t="shared" si="17"/>
        <v>33000</v>
      </c>
      <c r="J329" s="8" t="str">
        <f t="shared" si="18"/>
        <v/>
      </c>
      <c r="K329" s="8">
        <f t="shared" si="19"/>
        <v>363000</v>
      </c>
    </row>
    <row r="330" spans="2:11" hidden="1">
      <c r="B330" s="7">
        <v>41374</v>
      </c>
      <c r="C330" s="3" t="s">
        <v>38</v>
      </c>
      <c r="D330" s="6" t="s">
        <v>22</v>
      </c>
      <c r="E330" s="3" t="s">
        <v>0</v>
      </c>
      <c r="F330" s="5">
        <v>39</v>
      </c>
      <c r="G330" s="5">
        <v>2900</v>
      </c>
      <c r="H330" s="8">
        <f t="shared" si="16"/>
        <v>113100</v>
      </c>
      <c r="I330" s="8">
        <f t="shared" si="17"/>
        <v>11310</v>
      </c>
      <c r="J330" s="8">
        <f t="shared" si="18"/>
        <v>124410</v>
      </c>
      <c r="K330" s="8" t="str">
        <f t="shared" si="19"/>
        <v/>
      </c>
    </row>
    <row r="331" spans="2:11" hidden="1">
      <c r="B331" s="7">
        <v>41374</v>
      </c>
      <c r="C331" s="3" t="s">
        <v>40</v>
      </c>
      <c r="D331" s="6" t="s">
        <v>19</v>
      </c>
      <c r="E331" s="3" t="s">
        <v>0</v>
      </c>
      <c r="F331" s="5">
        <v>39</v>
      </c>
      <c r="G331" s="5">
        <v>3150</v>
      </c>
      <c r="H331" s="8">
        <f t="shared" si="16"/>
        <v>122850</v>
      </c>
      <c r="I331" s="8">
        <f t="shared" si="17"/>
        <v>12280</v>
      </c>
      <c r="J331" s="8">
        <f t="shared" si="18"/>
        <v>135130</v>
      </c>
      <c r="K331" s="8" t="str">
        <f t="shared" si="19"/>
        <v/>
      </c>
    </row>
    <row r="332" spans="2:11" hidden="1">
      <c r="B332" s="7">
        <v>41374</v>
      </c>
      <c r="C332" s="3" t="s">
        <v>39</v>
      </c>
      <c r="D332" s="6" t="s">
        <v>17</v>
      </c>
      <c r="E332" s="3" t="s">
        <v>0</v>
      </c>
      <c r="F332" s="5">
        <v>36</v>
      </c>
      <c r="G332" s="5">
        <v>6900</v>
      </c>
      <c r="H332" s="8">
        <f t="shared" si="16"/>
        <v>248400</v>
      </c>
      <c r="I332" s="8">
        <f t="shared" si="17"/>
        <v>24840</v>
      </c>
      <c r="J332" s="8">
        <f t="shared" si="18"/>
        <v>273240</v>
      </c>
      <c r="K332" s="8" t="str">
        <f t="shared" si="19"/>
        <v/>
      </c>
    </row>
    <row r="333" spans="2:11" hidden="1">
      <c r="B333" s="7">
        <v>41375</v>
      </c>
      <c r="C333" s="3" t="s">
        <v>36</v>
      </c>
      <c r="D333" s="6" t="s">
        <v>16</v>
      </c>
      <c r="E333" s="3" t="s">
        <v>1</v>
      </c>
      <c r="F333" s="5">
        <v>46</v>
      </c>
      <c r="G333" s="5">
        <v>8040</v>
      </c>
      <c r="H333" s="8">
        <f t="shared" ref="H333:H396" si="20">F333*G333</f>
        <v>369840</v>
      </c>
      <c r="I333" s="8">
        <f t="shared" ref="I333:I396" si="21">TRUNC(H333*10%,-1)</f>
        <v>36980</v>
      </c>
      <c r="J333" s="8">
        <f t="shared" ref="J333:J396" si="22">IF(E333="매입",H333+I333,"")</f>
        <v>406820</v>
      </c>
      <c r="K333" s="8" t="str">
        <f t="shared" ref="K333:K396" si="23">IF(E333="매출",H333+I333,"")</f>
        <v/>
      </c>
    </row>
    <row r="334" spans="2:11" hidden="1">
      <c r="B334" s="7">
        <v>41375</v>
      </c>
      <c r="C334" s="3" t="s">
        <v>41</v>
      </c>
      <c r="D334" s="6" t="s">
        <v>24</v>
      </c>
      <c r="E334" s="3" t="s">
        <v>0</v>
      </c>
      <c r="F334" s="5">
        <v>7</v>
      </c>
      <c r="G334" s="5">
        <v>4020</v>
      </c>
      <c r="H334" s="8">
        <f t="shared" si="20"/>
        <v>28140</v>
      </c>
      <c r="I334" s="8">
        <f t="shared" si="21"/>
        <v>2810</v>
      </c>
      <c r="J334" s="8">
        <f t="shared" si="22"/>
        <v>30950</v>
      </c>
      <c r="K334" s="8" t="str">
        <f t="shared" si="23"/>
        <v/>
      </c>
    </row>
    <row r="335" spans="2:11" hidden="1">
      <c r="B335" s="7">
        <v>41375</v>
      </c>
      <c r="C335" s="3" t="s">
        <v>36</v>
      </c>
      <c r="D335" s="6" t="s">
        <v>14</v>
      </c>
      <c r="E335" s="3" t="s">
        <v>0</v>
      </c>
      <c r="F335" s="5">
        <v>42</v>
      </c>
      <c r="G335" s="5">
        <v>1350</v>
      </c>
      <c r="H335" s="8">
        <f t="shared" si="20"/>
        <v>56700</v>
      </c>
      <c r="I335" s="8">
        <f t="shared" si="21"/>
        <v>5670</v>
      </c>
      <c r="J335" s="8">
        <f t="shared" si="22"/>
        <v>62370</v>
      </c>
      <c r="K335" s="8" t="str">
        <f t="shared" si="23"/>
        <v/>
      </c>
    </row>
    <row r="336" spans="2:11" hidden="1">
      <c r="B336" s="7">
        <v>41375</v>
      </c>
      <c r="C336" s="3" t="s">
        <v>41</v>
      </c>
      <c r="D336" s="6" t="s">
        <v>13</v>
      </c>
      <c r="E336" s="3" t="s">
        <v>0</v>
      </c>
      <c r="F336" s="5">
        <v>26</v>
      </c>
      <c r="G336" s="5">
        <v>5040</v>
      </c>
      <c r="H336" s="8">
        <f t="shared" si="20"/>
        <v>131040</v>
      </c>
      <c r="I336" s="8">
        <f t="shared" si="21"/>
        <v>13100</v>
      </c>
      <c r="J336" s="8">
        <f t="shared" si="22"/>
        <v>144140</v>
      </c>
      <c r="K336" s="8" t="str">
        <f t="shared" si="23"/>
        <v/>
      </c>
    </row>
    <row r="337" spans="2:11" hidden="1">
      <c r="B337" s="7">
        <v>41376</v>
      </c>
      <c r="C337" s="3" t="s">
        <v>41</v>
      </c>
      <c r="D337" s="6" t="s">
        <v>29</v>
      </c>
      <c r="E337" s="3" t="s">
        <v>12</v>
      </c>
      <c r="F337" s="5">
        <v>30</v>
      </c>
      <c r="G337" s="5">
        <v>9200</v>
      </c>
      <c r="H337" s="8">
        <f t="shared" si="20"/>
        <v>276000</v>
      </c>
      <c r="I337" s="8">
        <f t="shared" si="21"/>
        <v>27600</v>
      </c>
      <c r="J337" s="8" t="str">
        <f t="shared" si="22"/>
        <v/>
      </c>
      <c r="K337" s="8">
        <f t="shared" si="23"/>
        <v>303600</v>
      </c>
    </row>
    <row r="338" spans="2:11" hidden="1">
      <c r="B338" s="7">
        <v>41376</v>
      </c>
      <c r="C338" s="3" t="s">
        <v>38</v>
      </c>
      <c r="D338" s="6" t="s">
        <v>16</v>
      </c>
      <c r="E338" s="3" t="s">
        <v>0</v>
      </c>
      <c r="F338" s="5">
        <v>37</v>
      </c>
      <c r="G338" s="5">
        <v>4920</v>
      </c>
      <c r="H338" s="8">
        <f t="shared" si="20"/>
        <v>182040</v>
      </c>
      <c r="I338" s="8">
        <f t="shared" si="21"/>
        <v>18200</v>
      </c>
      <c r="J338" s="8">
        <f t="shared" si="22"/>
        <v>200240</v>
      </c>
      <c r="K338" s="8" t="str">
        <f t="shared" si="23"/>
        <v/>
      </c>
    </row>
    <row r="339" spans="2:11" hidden="1">
      <c r="B339" s="7">
        <v>41377</v>
      </c>
      <c r="C339" s="3" t="s">
        <v>37</v>
      </c>
      <c r="D339" s="6" t="s">
        <v>11</v>
      </c>
      <c r="E339" s="3" t="s">
        <v>12</v>
      </c>
      <c r="F339" s="5">
        <v>5</v>
      </c>
      <c r="G339" s="5">
        <v>9830</v>
      </c>
      <c r="H339" s="8">
        <f t="shared" si="20"/>
        <v>49150</v>
      </c>
      <c r="I339" s="8">
        <f t="shared" si="21"/>
        <v>4910</v>
      </c>
      <c r="J339" s="8" t="str">
        <f t="shared" si="22"/>
        <v/>
      </c>
      <c r="K339" s="8">
        <f t="shared" si="23"/>
        <v>54060</v>
      </c>
    </row>
    <row r="340" spans="2:11" hidden="1">
      <c r="B340" s="7">
        <v>41378</v>
      </c>
      <c r="C340" s="3" t="s">
        <v>41</v>
      </c>
      <c r="D340" s="6" t="s">
        <v>15</v>
      </c>
      <c r="E340" s="3" t="s">
        <v>12</v>
      </c>
      <c r="F340" s="5">
        <v>22</v>
      </c>
      <c r="G340" s="5">
        <v>7200</v>
      </c>
      <c r="H340" s="8">
        <f t="shared" si="20"/>
        <v>158400</v>
      </c>
      <c r="I340" s="8">
        <f t="shared" si="21"/>
        <v>15840</v>
      </c>
      <c r="J340" s="8" t="str">
        <f t="shared" si="22"/>
        <v/>
      </c>
      <c r="K340" s="8">
        <f t="shared" si="23"/>
        <v>174240</v>
      </c>
    </row>
    <row r="341" spans="2:11" hidden="1">
      <c r="B341" s="7">
        <v>41379</v>
      </c>
      <c r="C341" s="3" t="s">
        <v>39</v>
      </c>
      <c r="D341" s="6" t="s">
        <v>14</v>
      </c>
      <c r="E341" s="3" t="s">
        <v>12</v>
      </c>
      <c r="F341" s="5">
        <v>32</v>
      </c>
      <c r="G341" s="5">
        <v>5230</v>
      </c>
      <c r="H341" s="8">
        <f t="shared" si="20"/>
        <v>167360</v>
      </c>
      <c r="I341" s="8">
        <f t="shared" si="21"/>
        <v>16730</v>
      </c>
      <c r="J341" s="8" t="str">
        <f t="shared" si="22"/>
        <v/>
      </c>
      <c r="K341" s="8">
        <f t="shared" si="23"/>
        <v>184090</v>
      </c>
    </row>
    <row r="342" spans="2:11" hidden="1">
      <c r="B342" s="7">
        <v>41379</v>
      </c>
      <c r="C342" s="3" t="s">
        <v>41</v>
      </c>
      <c r="D342" s="6" t="s">
        <v>13</v>
      </c>
      <c r="E342" s="3" t="s">
        <v>0</v>
      </c>
      <c r="F342" s="5">
        <v>7</v>
      </c>
      <c r="G342" s="5">
        <v>2760</v>
      </c>
      <c r="H342" s="8">
        <f t="shared" si="20"/>
        <v>19320</v>
      </c>
      <c r="I342" s="8">
        <f t="shared" si="21"/>
        <v>1930</v>
      </c>
      <c r="J342" s="8">
        <f t="shared" si="22"/>
        <v>21250</v>
      </c>
      <c r="K342" s="8" t="str">
        <f t="shared" si="23"/>
        <v/>
      </c>
    </row>
    <row r="343" spans="2:11" hidden="1">
      <c r="B343" s="7">
        <v>41379</v>
      </c>
      <c r="C343" s="3" t="s">
        <v>41</v>
      </c>
      <c r="D343" s="6" t="s">
        <v>18</v>
      </c>
      <c r="E343" s="3" t="s">
        <v>0</v>
      </c>
      <c r="F343" s="5">
        <v>31</v>
      </c>
      <c r="G343" s="5">
        <v>3030</v>
      </c>
      <c r="H343" s="8">
        <f t="shared" si="20"/>
        <v>93930</v>
      </c>
      <c r="I343" s="8">
        <f t="shared" si="21"/>
        <v>9390</v>
      </c>
      <c r="J343" s="8">
        <f t="shared" si="22"/>
        <v>103320</v>
      </c>
      <c r="K343" s="8" t="str">
        <f t="shared" si="23"/>
        <v/>
      </c>
    </row>
    <row r="344" spans="2:11" hidden="1">
      <c r="B344" s="7">
        <v>41380</v>
      </c>
      <c r="C344" s="3" t="s">
        <v>38</v>
      </c>
      <c r="D344" s="6" t="s">
        <v>13</v>
      </c>
      <c r="E344" s="3" t="s">
        <v>12</v>
      </c>
      <c r="F344" s="5">
        <v>50</v>
      </c>
      <c r="G344" s="5">
        <v>9320</v>
      </c>
      <c r="H344" s="8">
        <f t="shared" si="20"/>
        <v>466000</v>
      </c>
      <c r="I344" s="8">
        <f t="shared" si="21"/>
        <v>46600</v>
      </c>
      <c r="J344" s="8" t="str">
        <f t="shared" si="22"/>
        <v/>
      </c>
      <c r="K344" s="8">
        <f t="shared" si="23"/>
        <v>512600</v>
      </c>
    </row>
    <row r="345" spans="2:11" hidden="1">
      <c r="B345" s="7">
        <v>41380</v>
      </c>
      <c r="C345" s="3" t="s">
        <v>42</v>
      </c>
      <c r="D345" s="6" t="s">
        <v>26</v>
      </c>
      <c r="E345" s="3" t="s">
        <v>0</v>
      </c>
      <c r="F345" s="5">
        <v>39</v>
      </c>
      <c r="G345" s="5">
        <v>3270</v>
      </c>
      <c r="H345" s="8">
        <f t="shared" si="20"/>
        <v>127530</v>
      </c>
      <c r="I345" s="8">
        <f t="shared" si="21"/>
        <v>12750</v>
      </c>
      <c r="J345" s="8">
        <f t="shared" si="22"/>
        <v>140280</v>
      </c>
      <c r="K345" s="8" t="str">
        <f t="shared" si="23"/>
        <v/>
      </c>
    </row>
    <row r="346" spans="2:11" hidden="1">
      <c r="B346" s="7">
        <v>41381</v>
      </c>
      <c r="C346" s="3" t="s">
        <v>36</v>
      </c>
      <c r="D346" s="6" t="s">
        <v>15</v>
      </c>
      <c r="E346" s="3" t="s">
        <v>12</v>
      </c>
      <c r="F346" s="5">
        <v>17</v>
      </c>
      <c r="G346" s="5">
        <v>8450</v>
      </c>
      <c r="H346" s="8">
        <f t="shared" si="20"/>
        <v>143650</v>
      </c>
      <c r="I346" s="8">
        <f t="shared" si="21"/>
        <v>14360</v>
      </c>
      <c r="J346" s="8" t="str">
        <f t="shared" si="22"/>
        <v/>
      </c>
      <c r="K346" s="8">
        <f t="shared" si="23"/>
        <v>158010</v>
      </c>
    </row>
    <row r="347" spans="2:11" hidden="1">
      <c r="B347" s="7">
        <v>41381</v>
      </c>
      <c r="C347" s="3" t="s">
        <v>39</v>
      </c>
      <c r="D347" s="6" t="s">
        <v>16</v>
      </c>
      <c r="E347" s="3" t="s">
        <v>12</v>
      </c>
      <c r="F347" s="5">
        <v>18</v>
      </c>
      <c r="G347" s="5">
        <v>12490</v>
      </c>
      <c r="H347" s="8">
        <f t="shared" si="20"/>
        <v>224820</v>
      </c>
      <c r="I347" s="8">
        <f t="shared" si="21"/>
        <v>22480</v>
      </c>
      <c r="J347" s="8" t="str">
        <f t="shared" si="22"/>
        <v/>
      </c>
      <c r="K347" s="8">
        <f t="shared" si="23"/>
        <v>247300</v>
      </c>
    </row>
    <row r="348" spans="2:11" hidden="1">
      <c r="B348" s="7">
        <v>41382</v>
      </c>
      <c r="C348" s="3" t="s">
        <v>44</v>
      </c>
      <c r="D348" s="6" t="s">
        <v>27</v>
      </c>
      <c r="E348" s="3" t="s">
        <v>12</v>
      </c>
      <c r="F348" s="5">
        <v>23</v>
      </c>
      <c r="G348" s="5">
        <v>7200</v>
      </c>
      <c r="H348" s="8">
        <f t="shared" si="20"/>
        <v>165600</v>
      </c>
      <c r="I348" s="8">
        <f t="shared" si="21"/>
        <v>16560</v>
      </c>
      <c r="J348" s="8" t="str">
        <f t="shared" si="22"/>
        <v/>
      </c>
      <c r="K348" s="8">
        <f t="shared" si="23"/>
        <v>182160</v>
      </c>
    </row>
    <row r="349" spans="2:11" hidden="1">
      <c r="B349" s="7">
        <v>41382</v>
      </c>
      <c r="C349" s="3" t="s">
        <v>37</v>
      </c>
      <c r="D349" s="6" t="s">
        <v>22</v>
      </c>
      <c r="E349" s="3" t="s">
        <v>12</v>
      </c>
      <c r="F349" s="5">
        <v>19</v>
      </c>
      <c r="G349" s="5">
        <v>8450</v>
      </c>
      <c r="H349" s="8">
        <f t="shared" si="20"/>
        <v>160550</v>
      </c>
      <c r="I349" s="8">
        <f t="shared" si="21"/>
        <v>16050</v>
      </c>
      <c r="J349" s="8" t="str">
        <f t="shared" si="22"/>
        <v/>
      </c>
      <c r="K349" s="8">
        <f t="shared" si="23"/>
        <v>176600</v>
      </c>
    </row>
    <row r="350" spans="2:11" hidden="1">
      <c r="B350" s="7">
        <v>41382</v>
      </c>
      <c r="C350" s="3" t="s">
        <v>45</v>
      </c>
      <c r="D350" s="6" t="s">
        <v>17</v>
      </c>
      <c r="E350" s="3" t="s">
        <v>0</v>
      </c>
      <c r="F350" s="5">
        <v>6</v>
      </c>
      <c r="G350" s="5">
        <v>12980</v>
      </c>
      <c r="H350" s="8">
        <f t="shared" si="20"/>
        <v>77880</v>
      </c>
      <c r="I350" s="8">
        <f t="shared" si="21"/>
        <v>7780</v>
      </c>
      <c r="J350" s="8">
        <f t="shared" si="22"/>
        <v>85660</v>
      </c>
      <c r="K350" s="8" t="str">
        <f t="shared" si="23"/>
        <v/>
      </c>
    </row>
    <row r="351" spans="2:11" hidden="1">
      <c r="B351" s="7">
        <v>41383</v>
      </c>
      <c r="C351" s="3" t="s">
        <v>37</v>
      </c>
      <c r="D351" s="6" t="s">
        <v>11</v>
      </c>
      <c r="E351" s="3" t="s">
        <v>12</v>
      </c>
      <c r="F351" s="5">
        <v>42</v>
      </c>
      <c r="G351" s="5">
        <v>5690</v>
      </c>
      <c r="H351" s="8">
        <f t="shared" si="20"/>
        <v>238980</v>
      </c>
      <c r="I351" s="8">
        <f t="shared" si="21"/>
        <v>23890</v>
      </c>
      <c r="J351" s="8" t="str">
        <f t="shared" si="22"/>
        <v/>
      </c>
      <c r="K351" s="8">
        <f t="shared" si="23"/>
        <v>262870</v>
      </c>
    </row>
    <row r="352" spans="2:11" hidden="1">
      <c r="B352" s="7">
        <v>41383</v>
      </c>
      <c r="C352" s="3" t="s">
        <v>41</v>
      </c>
      <c r="D352" s="6" t="s">
        <v>22</v>
      </c>
      <c r="E352" s="3" t="s">
        <v>0</v>
      </c>
      <c r="F352" s="5">
        <v>43</v>
      </c>
      <c r="G352" s="5">
        <v>1930</v>
      </c>
      <c r="H352" s="8">
        <f t="shared" si="20"/>
        <v>82990</v>
      </c>
      <c r="I352" s="8">
        <f t="shared" si="21"/>
        <v>8290</v>
      </c>
      <c r="J352" s="8">
        <f t="shared" si="22"/>
        <v>91280</v>
      </c>
      <c r="K352" s="8" t="str">
        <f t="shared" si="23"/>
        <v/>
      </c>
    </row>
    <row r="353" spans="2:11" hidden="1">
      <c r="B353" s="7">
        <v>41383</v>
      </c>
      <c r="C353" s="3" t="s">
        <v>36</v>
      </c>
      <c r="D353" s="6" t="s">
        <v>11</v>
      </c>
      <c r="E353" s="3" t="s">
        <v>0</v>
      </c>
      <c r="F353" s="5">
        <v>10</v>
      </c>
      <c r="G353" s="5">
        <v>4940</v>
      </c>
      <c r="H353" s="8">
        <f t="shared" si="20"/>
        <v>49400</v>
      </c>
      <c r="I353" s="8">
        <f t="shared" si="21"/>
        <v>4940</v>
      </c>
      <c r="J353" s="8">
        <f t="shared" si="22"/>
        <v>54340</v>
      </c>
      <c r="K353" s="8" t="str">
        <f t="shared" si="23"/>
        <v/>
      </c>
    </row>
    <row r="354" spans="2:11" hidden="1">
      <c r="B354" s="7">
        <v>41384</v>
      </c>
      <c r="C354" s="3" t="s">
        <v>42</v>
      </c>
      <c r="D354" s="6" t="s">
        <v>21</v>
      </c>
      <c r="E354" s="3" t="s">
        <v>12</v>
      </c>
      <c r="F354" s="5">
        <v>37</v>
      </c>
      <c r="G354" s="5">
        <v>6820</v>
      </c>
      <c r="H354" s="8">
        <f t="shared" si="20"/>
        <v>252340</v>
      </c>
      <c r="I354" s="8">
        <f t="shared" si="21"/>
        <v>25230</v>
      </c>
      <c r="J354" s="8" t="str">
        <f t="shared" si="22"/>
        <v/>
      </c>
      <c r="K354" s="8">
        <f t="shared" si="23"/>
        <v>277570</v>
      </c>
    </row>
    <row r="355" spans="2:11" hidden="1">
      <c r="B355" s="7">
        <v>41384</v>
      </c>
      <c r="C355" s="3" t="s">
        <v>44</v>
      </c>
      <c r="D355" s="6" t="s">
        <v>29</v>
      </c>
      <c r="E355" s="3" t="s">
        <v>12</v>
      </c>
      <c r="F355" s="5">
        <v>37</v>
      </c>
      <c r="G355" s="5">
        <v>8580</v>
      </c>
      <c r="H355" s="8">
        <f t="shared" si="20"/>
        <v>317460</v>
      </c>
      <c r="I355" s="8">
        <f t="shared" si="21"/>
        <v>31740</v>
      </c>
      <c r="J355" s="8" t="str">
        <f t="shared" si="22"/>
        <v/>
      </c>
      <c r="K355" s="8">
        <f t="shared" si="23"/>
        <v>349200</v>
      </c>
    </row>
    <row r="356" spans="2:11" hidden="1">
      <c r="B356" s="7">
        <v>41384</v>
      </c>
      <c r="C356" s="3" t="s">
        <v>42</v>
      </c>
      <c r="D356" s="6" t="s">
        <v>11</v>
      </c>
      <c r="E356" s="3" t="s">
        <v>0</v>
      </c>
      <c r="F356" s="5">
        <v>9</v>
      </c>
      <c r="G356" s="5">
        <v>3900</v>
      </c>
      <c r="H356" s="8">
        <f t="shared" si="20"/>
        <v>35100</v>
      </c>
      <c r="I356" s="8">
        <f t="shared" si="21"/>
        <v>3510</v>
      </c>
      <c r="J356" s="8">
        <f t="shared" si="22"/>
        <v>38610</v>
      </c>
      <c r="K356" s="8" t="str">
        <f t="shared" si="23"/>
        <v/>
      </c>
    </row>
    <row r="357" spans="2:11" hidden="1">
      <c r="B357" s="7">
        <v>41384</v>
      </c>
      <c r="C357" s="3" t="s">
        <v>41</v>
      </c>
      <c r="D357" s="6" t="s">
        <v>15</v>
      </c>
      <c r="E357" s="3" t="s">
        <v>0</v>
      </c>
      <c r="F357" s="5">
        <v>47</v>
      </c>
      <c r="G357" s="5">
        <v>3440</v>
      </c>
      <c r="H357" s="8">
        <f t="shared" si="20"/>
        <v>161680</v>
      </c>
      <c r="I357" s="8">
        <f t="shared" si="21"/>
        <v>16160</v>
      </c>
      <c r="J357" s="8">
        <f t="shared" si="22"/>
        <v>177840</v>
      </c>
      <c r="K357" s="8" t="str">
        <f t="shared" si="23"/>
        <v/>
      </c>
    </row>
    <row r="358" spans="2:11" hidden="1">
      <c r="B358" s="7">
        <v>41385</v>
      </c>
      <c r="C358" s="3" t="s">
        <v>37</v>
      </c>
      <c r="D358" s="6" t="s">
        <v>16</v>
      </c>
      <c r="E358" s="3" t="s">
        <v>12</v>
      </c>
      <c r="F358" s="5">
        <v>47</v>
      </c>
      <c r="G358" s="5">
        <v>12640</v>
      </c>
      <c r="H358" s="8">
        <f t="shared" si="20"/>
        <v>594080</v>
      </c>
      <c r="I358" s="8">
        <f t="shared" si="21"/>
        <v>59400</v>
      </c>
      <c r="J358" s="8" t="str">
        <f t="shared" si="22"/>
        <v/>
      </c>
      <c r="K358" s="8">
        <f t="shared" si="23"/>
        <v>653480</v>
      </c>
    </row>
    <row r="359" spans="2:11" hidden="1">
      <c r="B359" s="7">
        <v>41385</v>
      </c>
      <c r="C359" s="3" t="s">
        <v>43</v>
      </c>
      <c r="D359" s="6" t="s">
        <v>24</v>
      </c>
      <c r="E359" s="3" t="s">
        <v>0</v>
      </c>
      <c r="F359" s="5">
        <v>49</v>
      </c>
      <c r="G359" s="5">
        <v>3020</v>
      </c>
      <c r="H359" s="8">
        <f t="shared" si="20"/>
        <v>147980</v>
      </c>
      <c r="I359" s="8">
        <f t="shared" si="21"/>
        <v>14790</v>
      </c>
      <c r="J359" s="8">
        <f t="shared" si="22"/>
        <v>162770</v>
      </c>
      <c r="K359" s="8" t="str">
        <f t="shared" si="23"/>
        <v/>
      </c>
    </row>
    <row r="360" spans="2:11" hidden="1">
      <c r="B360" s="7">
        <v>41385</v>
      </c>
      <c r="C360" s="3" t="s">
        <v>41</v>
      </c>
      <c r="D360" s="6" t="s">
        <v>18</v>
      </c>
      <c r="E360" s="3" t="s">
        <v>0</v>
      </c>
      <c r="F360" s="5">
        <v>22</v>
      </c>
      <c r="G360" s="5">
        <v>1420</v>
      </c>
      <c r="H360" s="8">
        <f t="shared" si="20"/>
        <v>31240</v>
      </c>
      <c r="I360" s="8">
        <f t="shared" si="21"/>
        <v>3120</v>
      </c>
      <c r="J360" s="8">
        <f t="shared" si="22"/>
        <v>34360</v>
      </c>
      <c r="K360" s="8" t="str">
        <f t="shared" si="23"/>
        <v/>
      </c>
    </row>
    <row r="361" spans="2:11" hidden="1">
      <c r="B361" s="7">
        <v>41385</v>
      </c>
      <c r="C361" s="3" t="s">
        <v>36</v>
      </c>
      <c r="D361" s="6" t="s">
        <v>11</v>
      </c>
      <c r="E361" s="3" t="s">
        <v>0</v>
      </c>
      <c r="F361" s="5">
        <v>46</v>
      </c>
      <c r="G361" s="5">
        <v>4560</v>
      </c>
      <c r="H361" s="8">
        <f t="shared" si="20"/>
        <v>209760</v>
      </c>
      <c r="I361" s="8">
        <f t="shared" si="21"/>
        <v>20970</v>
      </c>
      <c r="J361" s="8">
        <f t="shared" si="22"/>
        <v>230730</v>
      </c>
      <c r="K361" s="8" t="str">
        <f t="shared" si="23"/>
        <v/>
      </c>
    </row>
    <row r="362" spans="2:11" hidden="1">
      <c r="B362" s="7">
        <v>41386</v>
      </c>
      <c r="C362" s="3" t="s">
        <v>38</v>
      </c>
      <c r="D362" s="6" t="s">
        <v>19</v>
      </c>
      <c r="E362" s="3" t="s">
        <v>12</v>
      </c>
      <c r="F362" s="5">
        <v>42</v>
      </c>
      <c r="G362" s="5">
        <v>9460</v>
      </c>
      <c r="H362" s="8">
        <f t="shared" si="20"/>
        <v>397320</v>
      </c>
      <c r="I362" s="8">
        <f t="shared" si="21"/>
        <v>39730</v>
      </c>
      <c r="J362" s="8" t="str">
        <f t="shared" si="22"/>
        <v/>
      </c>
      <c r="K362" s="8">
        <f t="shared" si="23"/>
        <v>437050</v>
      </c>
    </row>
    <row r="363" spans="2:11" hidden="1">
      <c r="B363" s="7">
        <v>41386</v>
      </c>
      <c r="C363" s="3" t="s">
        <v>39</v>
      </c>
      <c r="D363" s="6" t="s">
        <v>21</v>
      </c>
      <c r="E363" s="3" t="s">
        <v>12</v>
      </c>
      <c r="F363" s="5">
        <v>16</v>
      </c>
      <c r="G363" s="5">
        <v>9460</v>
      </c>
      <c r="H363" s="8">
        <f t="shared" si="20"/>
        <v>151360</v>
      </c>
      <c r="I363" s="8">
        <f t="shared" si="21"/>
        <v>15130</v>
      </c>
      <c r="J363" s="8" t="str">
        <f t="shared" si="22"/>
        <v/>
      </c>
      <c r="K363" s="8">
        <f t="shared" si="23"/>
        <v>166490</v>
      </c>
    </row>
    <row r="364" spans="2:11" hidden="1">
      <c r="B364" s="7">
        <v>41386</v>
      </c>
      <c r="C364" s="3" t="s">
        <v>41</v>
      </c>
      <c r="D364" s="6" t="s">
        <v>27</v>
      </c>
      <c r="E364" s="3" t="s">
        <v>0</v>
      </c>
      <c r="F364" s="5">
        <v>20</v>
      </c>
      <c r="G364" s="5">
        <v>2900</v>
      </c>
      <c r="H364" s="8">
        <f t="shared" si="20"/>
        <v>58000</v>
      </c>
      <c r="I364" s="8">
        <f t="shared" si="21"/>
        <v>5800</v>
      </c>
      <c r="J364" s="8">
        <f t="shared" si="22"/>
        <v>63800</v>
      </c>
      <c r="K364" s="8" t="str">
        <f t="shared" si="23"/>
        <v/>
      </c>
    </row>
    <row r="365" spans="2:11" hidden="1">
      <c r="B365" s="7">
        <v>41386</v>
      </c>
      <c r="C365" s="3" t="s">
        <v>44</v>
      </c>
      <c r="D365" s="6" t="s">
        <v>16</v>
      </c>
      <c r="E365" s="3" t="s">
        <v>0</v>
      </c>
      <c r="F365" s="5">
        <v>5</v>
      </c>
      <c r="G365" s="5">
        <v>6110</v>
      </c>
      <c r="H365" s="8">
        <f t="shared" si="20"/>
        <v>30550</v>
      </c>
      <c r="I365" s="8">
        <f t="shared" si="21"/>
        <v>3050</v>
      </c>
      <c r="J365" s="8">
        <f t="shared" si="22"/>
        <v>33600</v>
      </c>
      <c r="K365" s="8" t="str">
        <f t="shared" si="23"/>
        <v/>
      </c>
    </row>
    <row r="366" spans="2:11" hidden="1">
      <c r="B366" s="7">
        <v>41387</v>
      </c>
      <c r="C366" s="3" t="s">
        <v>42</v>
      </c>
      <c r="D366" s="6" t="s">
        <v>23</v>
      </c>
      <c r="E366" s="3" t="s">
        <v>12</v>
      </c>
      <c r="F366" s="5">
        <v>29</v>
      </c>
      <c r="G366" s="5">
        <v>6700</v>
      </c>
      <c r="H366" s="8">
        <f t="shared" si="20"/>
        <v>194300</v>
      </c>
      <c r="I366" s="8">
        <f t="shared" si="21"/>
        <v>19430</v>
      </c>
      <c r="J366" s="8" t="str">
        <f t="shared" si="22"/>
        <v/>
      </c>
      <c r="K366" s="8">
        <f t="shared" si="23"/>
        <v>213730</v>
      </c>
    </row>
    <row r="367" spans="2:11" hidden="1">
      <c r="B367" s="7">
        <v>41388</v>
      </c>
      <c r="C367" s="3" t="s">
        <v>43</v>
      </c>
      <c r="D367" s="6" t="s">
        <v>22</v>
      </c>
      <c r="E367" s="3" t="s">
        <v>0</v>
      </c>
      <c r="F367" s="5">
        <v>5</v>
      </c>
      <c r="G367" s="5">
        <v>2310</v>
      </c>
      <c r="H367" s="8">
        <f t="shared" si="20"/>
        <v>11550</v>
      </c>
      <c r="I367" s="8">
        <f t="shared" si="21"/>
        <v>1150</v>
      </c>
      <c r="J367" s="8">
        <f t="shared" si="22"/>
        <v>12700</v>
      </c>
      <c r="K367" s="8" t="str">
        <f t="shared" si="23"/>
        <v/>
      </c>
    </row>
    <row r="368" spans="2:11" hidden="1">
      <c r="B368" s="7">
        <v>41389</v>
      </c>
      <c r="C368" s="3" t="s">
        <v>39</v>
      </c>
      <c r="D368" s="6" t="s">
        <v>21</v>
      </c>
      <c r="E368" s="3" t="s">
        <v>12</v>
      </c>
      <c r="F368" s="5">
        <v>30</v>
      </c>
      <c r="G368" s="5">
        <v>6450</v>
      </c>
      <c r="H368" s="8">
        <f t="shared" si="20"/>
        <v>193500</v>
      </c>
      <c r="I368" s="8">
        <f t="shared" si="21"/>
        <v>19350</v>
      </c>
      <c r="J368" s="8" t="str">
        <f t="shared" si="22"/>
        <v/>
      </c>
      <c r="K368" s="8">
        <f t="shared" si="23"/>
        <v>212850</v>
      </c>
    </row>
    <row r="369" spans="2:11" hidden="1">
      <c r="B369" s="7">
        <v>41389</v>
      </c>
      <c r="C369" s="3" t="s">
        <v>39</v>
      </c>
      <c r="D369" s="6" t="s">
        <v>18</v>
      </c>
      <c r="E369" s="3" t="s">
        <v>0</v>
      </c>
      <c r="F369" s="5">
        <v>23</v>
      </c>
      <c r="G369" s="5">
        <v>3600</v>
      </c>
      <c r="H369" s="8">
        <f t="shared" si="20"/>
        <v>82800</v>
      </c>
      <c r="I369" s="8">
        <f t="shared" si="21"/>
        <v>8280</v>
      </c>
      <c r="J369" s="8">
        <f t="shared" si="22"/>
        <v>91080</v>
      </c>
      <c r="K369" s="8" t="str">
        <f t="shared" si="23"/>
        <v/>
      </c>
    </row>
    <row r="370" spans="2:11" hidden="1">
      <c r="B370" s="7">
        <v>41389</v>
      </c>
      <c r="C370" s="3" t="s">
        <v>43</v>
      </c>
      <c r="D370" s="6" t="s">
        <v>21</v>
      </c>
      <c r="E370" s="3" t="s">
        <v>0</v>
      </c>
      <c r="F370" s="5">
        <v>10</v>
      </c>
      <c r="G370" s="5">
        <v>2060</v>
      </c>
      <c r="H370" s="8">
        <f t="shared" si="20"/>
        <v>20600</v>
      </c>
      <c r="I370" s="8">
        <f t="shared" si="21"/>
        <v>2060</v>
      </c>
      <c r="J370" s="8">
        <f t="shared" si="22"/>
        <v>22660</v>
      </c>
      <c r="K370" s="8" t="str">
        <f t="shared" si="23"/>
        <v/>
      </c>
    </row>
    <row r="371" spans="2:11" hidden="1">
      <c r="B371" s="7">
        <v>41389</v>
      </c>
      <c r="C371" s="3" t="s">
        <v>38</v>
      </c>
      <c r="D371" s="6" t="s">
        <v>29</v>
      </c>
      <c r="E371" s="3" t="s">
        <v>0</v>
      </c>
      <c r="F371" s="5">
        <v>6</v>
      </c>
      <c r="G371" s="5">
        <v>3310</v>
      </c>
      <c r="H371" s="8">
        <f t="shared" si="20"/>
        <v>19860</v>
      </c>
      <c r="I371" s="8">
        <f t="shared" si="21"/>
        <v>1980</v>
      </c>
      <c r="J371" s="8">
        <f t="shared" si="22"/>
        <v>21840</v>
      </c>
      <c r="K371" s="8" t="str">
        <f t="shared" si="23"/>
        <v/>
      </c>
    </row>
    <row r="372" spans="2:11" hidden="1">
      <c r="B372" s="7">
        <v>41390</v>
      </c>
      <c r="C372" s="3" t="s">
        <v>41</v>
      </c>
      <c r="D372" s="6" t="s">
        <v>26</v>
      </c>
      <c r="E372" s="3" t="s">
        <v>12</v>
      </c>
      <c r="F372" s="5">
        <v>46</v>
      </c>
      <c r="G372" s="5">
        <v>7320</v>
      </c>
      <c r="H372" s="8">
        <f t="shared" si="20"/>
        <v>336720</v>
      </c>
      <c r="I372" s="8">
        <f t="shared" si="21"/>
        <v>33670</v>
      </c>
      <c r="J372" s="8" t="str">
        <f t="shared" si="22"/>
        <v/>
      </c>
      <c r="K372" s="8">
        <f t="shared" si="23"/>
        <v>370390</v>
      </c>
    </row>
    <row r="373" spans="2:11" hidden="1">
      <c r="B373" s="7">
        <v>41390</v>
      </c>
      <c r="C373" s="3" t="s">
        <v>37</v>
      </c>
      <c r="D373" s="6" t="s">
        <v>25</v>
      </c>
      <c r="E373" s="3" t="s">
        <v>12</v>
      </c>
      <c r="F373" s="5">
        <v>16</v>
      </c>
      <c r="G373" s="5">
        <v>12640</v>
      </c>
      <c r="H373" s="8">
        <f t="shared" si="20"/>
        <v>202240</v>
      </c>
      <c r="I373" s="8">
        <f t="shared" si="21"/>
        <v>20220</v>
      </c>
      <c r="J373" s="8" t="str">
        <f t="shared" si="22"/>
        <v/>
      </c>
      <c r="K373" s="8">
        <f t="shared" si="23"/>
        <v>222460</v>
      </c>
    </row>
    <row r="374" spans="2:11" hidden="1">
      <c r="B374" s="7">
        <v>41390</v>
      </c>
      <c r="C374" s="3" t="s">
        <v>41</v>
      </c>
      <c r="D374" s="6" t="s">
        <v>20</v>
      </c>
      <c r="E374" s="3" t="s">
        <v>0</v>
      </c>
      <c r="F374" s="5">
        <v>24</v>
      </c>
      <c r="G374" s="5">
        <v>4230</v>
      </c>
      <c r="H374" s="8">
        <f t="shared" si="20"/>
        <v>101520</v>
      </c>
      <c r="I374" s="8">
        <f t="shared" si="21"/>
        <v>10150</v>
      </c>
      <c r="J374" s="8">
        <f t="shared" si="22"/>
        <v>111670</v>
      </c>
      <c r="K374" s="8" t="str">
        <f t="shared" si="23"/>
        <v/>
      </c>
    </row>
    <row r="375" spans="2:11" hidden="1">
      <c r="B375" s="7">
        <v>41391</v>
      </c>
      <c r="C375" s="3" t="s">
        <v>43</v>
      </c>
      <c r="D375" s="6" t="s">
        <v>29</v>
      </c>
      <c r="E375" s="3" t="s">
        <v>12</v>
      </c>
      <c r="F375" s="5">
        <v>8</v>
      </c>
      <c r="G375" s="5">
        <v>5820</v>
      </c>
      <c r="H375" s="8">
        <f t="shared" si="20"/>
        <v>46560</v>
      </c>
      <c r="I375" s="8">
        <f t="shared" si="21"/>
        <v>4650</v>
      </c>
      <c r="J375" s="8" t="str">
        <f t="shared" si="22"/>
        <v/>
      </c>
      <c r="K375" s="8">
        <f t="shared" si="23"/>
        <v>51210</v>
      </c>
    </row>
    <row r="376" spans="2:11" hidden="1">
      <c r="B376" s="7">
        <v>41391</v>
      </c>
      <c r="C376" s="3" t="s">
        <v>40</v>
      </c>
      <c r="D376" s="6" t="s">
        <v>18</v>
      </c>
      <c r="E376" s="3" t="s">
        <v>12</v>
      </c>
      <c r="F376" s="5">
        <v>34</v>
      </c>
      <c r="G376" s="5">
        <v>8790</v>
      </c>
      <c r="H376" s="8">
        <f t="shared" si="20"/>
        <v>298860</v>
      </c>
      <c r="I376" s="8">
        <f t="shared" si="21"/>
        <v>29880</v>
      </c>
      <c r="J376" s="8" t="str">
        <f t="shared" si="22"/>
        <v/>
      </c>
      <c r="K376" s="8">
        <f t="shared" si="23"/>
        <v>328740</v>
      </c>
    </row>
    <row r="377" spans="2:11" hidden="1">
      <c r="B377" s="7">
        <v>41391</v>
      </c>
      <c r="C377" s="3" t="s">
        <v>42</v>
      </c>
      <c r="D377" s="6" t="s">
        <v>21</v>
      </c>
      <c r="E377" s="3" t="s">
        <v>12</v>
      </c>
      <c r="F377" s="5">
        <v>10</v>
      </c>
      <c r="G377" s="5">
        <v>9830</v>
      </c>
      <c r="H377" s="8">
        <f t="shared" si="20"/>
        <v>98300</v>
      </c>
      <c r="I377" s="8">
        <f t="shared" si="21"/>
        <v>9830</v>
      </c>
      <c r="J377" s="8" t="str">
        <f t="shared" si="22"/>
        <v/>
      </c>
      <c r="K377" s="8">
        <f t="shared" si="23"/>
        <v>108130</v>
      </c>
    </row>
    <row r="378" spans="2:11" hidden="1">
      <c r="B378" s="7">
        <v>41391</v>
      </c>
      <c r="C378" s="3" t="s">
        <v>41</v>
      </c>
      <c r="D378" s="6" t="s">
        <v>16</v>
      </c>
      <c r="E378" s="3" t="s">
        <v>12</v>
      </c>
      <c r="F378" s="5">
        <v>42</v>
      </c>
      <c r="G378" s="5">
        <v>12190</v>
      </c>
      <c r="H378" s="8">
        <f t="shared" si="20"/>
        <v>511980</v>
      </c>
      <c r="I378" s="8">
        <f t="shared" si="21"/>
        <v>51190</v>
      </c>
      <c r="J378" s="8" t="str">
        <f t="shared" si="22"/>
        <v/>
      </c>
      <c r="K378" s="8">
        <f t="shared" si="23"/>
        <v>563170</v>
      </c>
    </row>
    <row r="379" spans="2:11" hidden="1">
      <c r="B379" s="7">
        <v>41391</v>
      </c>
      <c r="C379" s="3" t="s">
        <v>36</v>
      </c>
      <c r="D379" s="6" t="s">
        <v>22</v>
      </c>
      <c r="E379" s="3" t="s">
        <v>0</v>
      </c>
      <c r="F379" s="5">
        <v>45</v>
      </c>
      <c r="G379" s="5">
        <v>3900</v>
      </c>
      <c r="H379" s="8">
        <f t="shared" si="20"/>
        <v>175500</v>
      </c>
      <c r="I379" s="8">
        <f t="shared" si="21"/>
        <v>17550</v>
      </c>
      <c r="J379" s="8">
        <f t="shared" si="22"/>
        <v>193050</v>
      </c>
      <c r="K379" s="8" t="str">
        <f t="shared" si="23"/>
        <v/>
      </c>
    </row>
    <row r="380" spans="2:11" hidden="1">
      <c r="B380" s="7">
        <v>41391</v>
      </c>
      <c r="C380" s="3" t="s">
        <v>43</v>
      </c>
      <c r="D380" s="6" t="s">
        <v>25</v>
      </c>
      <c r="E380" s="3" t="s">
        <v>0</v>
      </c>
      <c r="F380" s="5">
        <v>9</v>
      </c>
      <c r="G380" s="5">
        <v>2390</v>
      </c>
      <c r="H380" s="8">
        <f t="shared" si="20"/>
        <v>21510</v>
      </c>
      <c r="I380" s="8">
        <f t="shared" si="21"/>
        <v>2150</v>
      </c>
      <c r="J380" s="8">
        <f t="shared" si="22"/>
        <v>23660</v>
      </c>
      <c r="K380" s="8" t="str">
        <f t="shared" si="23"/>
        <v/>
      </c>
    </row>
    <row r="381" spans="2:11" hidden="1">
      <c r="B381" s="7">
        <v>41391</v>
      </c>
      <c r="C381" s="3" t="s">
        <v>38</v>
      </c>
      <c r="D381" s="6" t="s">
        <v>18</v>
      </c>
      <c r="E381" s="3" t="s">
        <v>0</v>
      </c>
      <c r="F381" s="5">
        <v>50</v>
      </c>
      <c r="G381" s="5">
        <v>3830</v>
      </c>
      <c r="H381" s="8">
        <f t="shared" si="20"/>
        <v>191500</v>
      </c>
      <c r="I381" s="8">
        <f t="shared" si="21"/>
        <v>19150</v>
      </c>
      <c r="J381" s="8">
        <f t="shared" si="22"/>
        <v>210650</v>
      </c>
      <c r="K381" s="8" t="str">
        <f t="shared" si="23"/>
        <v/>
      </c>
    </row>
    <row r="382" spans="2:11" hidden="1">
      <c r="B382" s="7">
        <v>41393</v>
      </c>
      <c r="C382" s="3" t="s">
        <v>37</v>
      </c>
      <c r="D382" s="6" t="s">
        <v>19</v>
      </c>
      <c r="E382" s="3" t="s">
        <v>0</v>
      </c>
      <c r="F382" s="5">
        <v>11</v>
      </c>
      <c r="G382" s="5">
        <v>4940</v>
      </c>
      <c r="H382" s="8">
        <f t="shared" si="20"/>
        <v>54340</v>
      </c>
      <c r="I382" s="8">
        <f t="shared" si="21"/>
        <v>5430</v>
      </c>
      <c r="J382" s="8">
        <f t="shared" si="22"/>
        <v>59770</v>
      </c>
      <c r="K382" s="8" t="str">
        <f t="shared" si="23"/>
        <v/>
      </c>
    </row>
    <row r="383" spans="2:11" hidden="1">
      <c r="B383" s="7">
        <v>41393</v>
      </c>
      <c r="C383" s="3" t="s">
        <v>39</v>
      </c>
      <c r="D383" s="6" t="s">
        <v>17</v>
      </c>
      <c r="E383" s="3" t="s">
        <v>0</v>
      </c>
      <c r="F383" s="5">
        <v>16</v>
      </c>
      <c r="G383" s="5">
        <v>7830</v>
      </c>
      <c r="H383" s="8">
        <f t="shared" si="20"/>
        <v>125280</v>
      </c>
      <c r="I383" s="8">
        <f t="shared" si="21"/>
        <v>12520</v>
      </c>
      <c r="J383" s="8">
        <f t="shared" si="22"/>
        <v>137800</v>
      </c>
      <c r="K383" s="8" t="str">
        <f t="shared" si="23"/>
        <v/>
      </c>
    </row>
    <row r="384" spans="2:11" hidden="1">
      <c r="B384" s="7">
        <v>41394</v>
      </c>
      <c r="C384" s="3" t="s">
        <v>40</v>
      </c>
      <c r="D384" s="6" t="s">
        <v>26</v>
      </c>
      <c r="E384" s="3" t="s">
        <v>12</v>
      </c>
      <c r="F384" s="5">
        <v>43</v>
      </c>
      <c r="G384" s="5">
        <v>7320</v>
      </c>
      <c r="H384" s="8">
        <f t="shared" si="20"/>
        <v>314760</v>
      </c>
      <c r="I384" s="8">
        <f t="shared" si="21"/>
        <v>31470</v>
      </c>
      <c r="J384" s="8" t="str">
        <f t="shared" si="22"/>
        <v/>
      </c>
      <c r="K384" s="8">
        <f t="shared" si="23"/>
        <v>346230</v>
      </c>
    </row>
    <row r="385" spans="2:11" hidden="1">
      <c r="B385" s="7">
        <v>41394</v>
      </c>
      <c r="C385" s="3" t="s">
        <v>40</v>
      </c>
      <c r="D385" s="6" t="s">
        <v>21</v>
      </c>
      <c r="E385" s="3" t="s">
        <v>12</v>
      </c>
      <c r="F385" s="5">
        <v>31</v>
      </c>
      <c r="G385" s="5">
        <v>9080</v>
      </c>
      <c r="H385" s="8">
        <f t="shared" si="20"/>
        <v>281480</v>
      </c>
      <c r="I385" s="8">
        <f t="shared" si="21"/>
        <v>28140</v>
      </c>
      <c r="J385" s="8" t="str">
        <f t="shared" si="22"/>
        <v/>
      </c>
      <c r="K385" s="8">
        <f t="shared" si="23"/>
        <v>309620</v>
      </c>
    </row>
    <row r="386" spans="2:11" hidden="1">
      <c r="B386" s="7">
        <v>41394</v>
      </c>
      <c r="C386" s="3" t="s">
        <v>42</v>
      </c>
      <c r="D386" s="6" t="s">
        <v>17</v>
      </c>
      <c r="E386" s="3" t="s">
        <v>12</v>
      </c>
      <c r="F386" s="5">
        <v>32</v>
      </c>
      <c r="G386" s="5">
        <v>18140</v>
      </c>
      <c r="H386" s="8">
        <f t="shared" si="20"/>
        <v>580480</v>
      </c>
      <c r="I386" s="8">
        <f t="shared" si="21"/>
        <v>58040</v>
      </c>
      <c r="J386" s="8" t="str">
        <f t="shared" si="22"/>
        <v/>
      </c>
      <c r="K386" s="8">
        <f t="shared" si="23"/>
        <v>638520</v>
      </c>
    </row>
    <row r="387" spans="2:11" hidden="1">
      <c r="B387" s="7">
        <v>41395</v>
      </c>
      <c r="C387" s="3" t="s">
        <v>45</v>
      </c>
      <c r="D387" s="6" t="s">
        <v>20</v>
      </c>
      <c r="E387" s="3" t="s">
        <v>12</v>
      </c>
      <c r="F387" s="5">
        <v>7</v>
      </c>
      <c r="G387" s="5">
        <v>8120</v>
      </c>
      <c r="H387" s="8">
        <f t="shared" si="20"/>
        <v>56840</v>
      </c>
      <c r="I387" s="8">
        <f t="shared" si="21"/>
        <v>5680</v>
      </c>
      <c r="J387" s="8" t="str">
        <f t="shared" si="22"/>
        <v/>
      </c>
      <c r="K387" s="8">
        <f t="shared" si="23"/>
        <v>62520</v>
      </c>
    </row>
    <row r="388" spans="2:11" hidden="1">
      <c r="B388" s="7">
        <v>41395</v>
      </c>
      <c r="C388" s="3" t="s">
        <v>40</v>
      </c>
      <c r="D388" s="6" t="s">
        <v>27</v>
      </c>
      <c r="E388" s="3" t="s">
        <v>0</v>
      </c>
      <c r="F388" s="5">
        <v>7</v>
      </c>
      <c r="G388" s="5">
        <v>4690</v>
      </c>
      <c r="H388" s="8">
        <f t="shared" si="20"/>
        <v>32830</v>
      </c>
      <c r="I388" s="8">
        <f t="shared" si="21"/>
        <v>3280</v>
      </c>
      <c r="J388" s="8">
        <f t="shared" si="22"/>
        <v>36110</v>
      </c>
      <c r="K388" s="8" t="str">
        <f t="shared" si="23"/>
        <v/>
      </c>
    </row>
    <row r="389" spans="2:11" hidden="1">
      <c r="B389" s="7">
        <v>41395</v>
      </c>
      <c r="C389" s="3" t="s">
        <v>43</v>
      </c>
      <c r="D389" s="6" t="s">
        <v>27</v>
      </c>
      <c r="E389" s="3" t="s">
        <v>0</v>
      </c>
      <c r="F389" s="5">
        <v>7</v>
      </c>
      <c r="G389" s="5">
        <v>4940</v>
      </c>
      <c r="H389" s="8">
        <f t="shared" si="20"/>
        <v>34580</v>
      </c>
      <c r="I389" s="8">
        <f t="shared" si="21"/>
        <v>3450</v>
      </c>
      <c r="J389" s="8">
        <f t="shared" si="22"/>
        <v>38030</v>
      </c>
      <c r="K389" s="8" t="str">
        <f t="shared" si="23"/>
        <v/>
      </c>
    </row>
    <row r="390" spans="2:11" hidden="1">
      <c r="B390" s="7">
        <v>41396</v>
      </c>
      <c r="C390" s="3" t="s">
        <v>42</v>
      </c>
      <c r="D390" s="6" t="s">
        <v>23</v>
      </c>
      <c r="E390" s="3" t="s">
        <v>12</v>
      </c>
      <c r="F390" s="5">
        <v>29</v>
      </c>
      <c r="G390" s="5">
        <v>6820</v>
      </c>
      <c r="H390" s="8">
        <f t="shared" si="20"/>
        <v>197780</v>
      </c>
      <c r="I390" s="8">
        <f t="shared" si="21"/>
        <v>19770</v>
      </c>
      <c r="J390" s="8" t="str">
        <f t="shared" si="22"/>
        <v/>
      </c>
      <c r="K390" s="8">
        <f t="shared" si="23"/>
        <v>217550</v>
      </c>
    </row>
    <row r="391" spans="2:11" hidden="1">
      <c r="B391" s="7">
        <v>41396</v>
      </c>
      <c r="C391" s="3" t="s">
        <v>38</v>
      </c>
      <c r="D391" s="6" t="s">
        <v>21</v>
      </c>
      <c r="E391" s="3" t="s">
        <v>12</v>
      </c>
      <c r="F391" s="5">
        <v>37</v>
      </c>
      <c r="G391" s="5">
        <v>9080</v>
      </c>
      <c r="H391" s="8">
        <f t="shared" si="20"/>
        <v>335960</v>
      </c>
      <c r="I391" s="8">
        <f t="shared" si="21"/>
        <v>33590</v>
      </c>
      <c r="J391" s="8" t="str">
        <f t="shared" si="22"/>
        <v/>
      </c>
      <c r="K391" s="8">
        <f t="shared" si="23"/>
        <v>369550</v>
      </c>
    </row>
    <row r="392" spans="2:11" hidden="1">
      <c r="B392" s="7">
        <v>41396</v>
      </c>
      <c r="C392" s="3" t="s">
        <v>44</v>
      </c>
      <c r="D392" s="6" t="s">
        <v>28</v>
      </c>
      <c r="E392" s="3" t="s">
        <v>12</v>
      </c>
      <c r="F392" s="5">
        <v>15</v>
      </c>
      <c r="G392" s="5">
        <v>13090</v>
      </c>
      <c r="H392" s="8">
        <f t="shared" si="20"/>
        <v>196350</v>
      </c>
      <c r="I392" s="8">
        <f t="shared" si="21"/>
        <v>19630</v>
      </c>
      <c r="J392" s="8" t="str">
        <f t="shared" si="22"/>
        <v/>
      </c>
      <c r="K392" s="8">
        <f t="shared" si="23"/>
        <v>215980</v>
      </c>
    </row>
    <row r="393" spans="2:11" hidden="1">
      <c r="B393" s="7">
        <v>41399</v>
      </c>
      <c r="C393" s="3" t="s">
        <v>36</v>
      </c>
      <c r="D393" s="6" t="s">
        <v>23</v>
      </c>
      <c r="E393" s="3" t="s">
        <v>12</v>
      </c>
      <c r="F393" s="5">
        <v>31</v>
      </c>
      <c r="G393" s="5">
        <v>6950</v>
      </c>
      <c r="H393" s="8">
        <f t="shared" si="20"/>
        <v>215450</v>
      </c>
      <c r="I393" s="8">
        <f t="shared" si="21"/>
        <v>21540</v>
      </c>
      <c r="J393" s="8" t="str">
        <f t="shared" si="22"/>
        <v/>
      </c>
      <c r="K393" s="8">
        <f t="shared" si="23"/>
        <v>236990</v>
      </c>
    </row>
    <row r="394" spans="2:11" hidden="1">
      <c r="B394" s="7">
        <v>41399</v>
      </c>
      <c r="C394" s="3" t="s">
        <v>40</v>
      </c>
      <c r="D394" s="6" t="s">
        <v>22</v>
      </c>
      <c r="E394" s="3" t="s">
        <v>12</v>
      </c>
      <c r="F394" s="5">
        <v>45</v>
      </c>
      <c r="G394" s="5">
        <v>8450</v>
      </c>
      <c r="H394" s="8">
        <f t="shared" si="20"/>
        <v>380250</v>
      </c>
      <c r="I394" s="8">
        <f t="shared" si="21"/>
        <v>38020</v>
      </c>
      <c r="J394" s="8" t="str">
        <f t="shared" si="22"/>
        <v/>
      </c>
      <c r="K394" s="8">
        <f t="shared" si="23"/>
        <v>418270</v>
      </c>
    </row>
    <row r="395" spans="2:11" hidden="1">
      <c r="B395" s="7">
        <v>41399</v>
      </c>
      <c r="C395" s="3" t="s">
        <v>41</v>
      </c>
      <c r="D395" s="6" t="s">
        <v>23</v>
      </c>
      <c r="E395" s="3" t="s">
        <v>12</v>
      </c>
      <c r="F395" s="5">
        <v>45</v>
      </c>
      <c r="G395" s="5">
        <v>9080</v>
      </c>
      <c r="H395" s="8">
        <f t="shared" si="20"/>
        <v>408600</v>
      </c>
      <c r="I395" s="8">
        <f t="shared" si="21"/>
        <v>40860</v>
      </c>
      <c r="J395" s="8" t="str">
        <f t="shared" si="22"/>
        <v/>
      </c>
      <c r="K395" s="8">
        <f t="shared" si="23"/>
        <v>449460</v>
      </c>
    </row>
    <row r="396" spans="2:11" hidden="1">
      <c r="B396" s="7">
        <v>41400</v>
      </c>
      <c r="C396" s="3" t="s">
        <v>36</v>
      </c>
      <c r="D396" s="6" t="s">
        <v>18</v>
      </c>
      <c r="E396" s="3" t="s">
        <v>12</v>
      </c>
      <c r="F396" s="5">
        <v>47</v>
      </c>
      <c r="G396" s="5">
        <v>8120</v>
      </c>
      <c r="H396" s="8">
        <f t="shared" si="20"/>
        <v>381640</v>
      </c>
      <c r="I396" s="8">
        <f t="shared" si="21"/>
        <v>38160</v>
      </c>
      <c r="J396" s="8" t="str">
        <f t="shared" si="22"/>
        <v/>
      </c>
      <c r="K396" s="8">
        <f t="shared" si="23"/>
        <v>419800</v>
      </c>
    </row>
    <row r="397" spans="2:11" hidden="1">
      <c r="B397" s="7">
        <v>41400</v>
      </c>
      <c r="C397" s="3" t="s">
        <v>39</v>
      </c>
      <c r="D397" s="6" t="s">
        <v>28</v>
      </c>
      <c r="E397" s="3" t="s">
        <v>12</v>
      </c>
      <c r="F397" s="5">
        <v>46</v>
      </c>
      <c r="G397" s="5">
        <v>8330</v>
      </c>
      <c r="H397" s="8">
        <f t="shared" ref="H397:H460" si="24">F397*G397</f>
        <v>383180</v>
      </c>
      <c r="I397" s="8">
        <f t="shared" ref="I397:I460" si="25">TRUNC(H397*10%,-1)</f>
        <v>38310</v>
      </c>
      <c r="J397" s="8" t="str">
        <f t="shared" ref="J397:J460" si="26">IF(E397="매입",H397+I397,"")</f>
        <v/>
      </c>
      <c r="K397" s="8">
        <f t="shared" ref="K397:K460" si="27">IF(E397="매출",H397+I397,"")</f>
        <v>421490</v>
      </c>
    </row>
    <row r="398" spans="2:11" hidden="1">
      <c r="B398" s="7">
        <v>41400</v>
      </c>
      <c r="C398" s="3" t="s">
        <v>45</v>
      </c>
      <c r="D398" s="6" t="s">
        <v>16</v>
      </c>
      <c r="E398" s="3" t="s">
        <v>12</v>
      </c>
      <c r="F398" s="5">
        <v>5</v>
      </c>
      <c r="G398" s="5">
        <v>11010</v>
      </c>
      <c r="H398" s="8">
        <f t="shared" si="24"/>
        <v>55050</v>
      </c>
      <c r="I398" s="8">
        <f t="shared" si="25"/>
        <v>5500</v>
      </c>
      <c r="J398" s="8" t="str">
        <f t="shared" si="26"/>
        <v/>
      </c>
      <c r="K398" s="8">
        <f t="shared" si="27"/>
        <v>60550</v>
      </c>
    </row>
    <row r="399" spans="2:11" hidden="1">
      <c r="B399" s="7">
        <v>41400</v>
      </c>
      <c r="C399" s="3" t="s">
        <v>39</v>
      </c>
      <c r="D399" s="6" t="s">
        <v>26</v>
      </c>
      <c r="E399" s="3" t="s">
        <v>0</v>
      </c>
      <c r="F399" s="5">
        <v>9</v>
      </c>
      <c r="G399" s="5">
        <v>2060</v>
      </c>
      <c r="H399" s="8">
        <f t="shared" si="24"/>
        <v>18540</v>
      </c>
      <c r="I399" s="8">
        <f t="shared" si="25"/>
        <v>1850</v>
      </c>
      <c r="J399" s="8">
        <f t="shared" si="26"/>
        <v>20390</v>
      </c>
      <c r="K399" s="8" t="str">
        <f t="shared" si="27"/>
        <v/>
      </c>
    </row>
    <row r="400" spans="2:11" hidden="1">
      <c r="B400" s="7">
        <v>41401</v>
      </c>
      <c r="C400" s="3" t="s">
        <v>42</v>
      </c>
      <c r="D400" s="6" t="s">
        <v>13</v>
      </c>
      <c r="E400" s="3" t="s">
        <v>0</v>
      </c>
      <c r="F400" s="5">
        <v>26</v>
      </c>
      <c r="G400" s="5">
        <v>3030</v>
      </c>
      <c r="H400" s="8">
        <f t="shared" si="24"/>
        <v>78780</v>
      </c>
      <c r="I400" s="8">
        <f t="shared" si="25"/>
        <v>7870</v>
      </c>
      <c r="J400" s="8">
        <f t="shared" si="26"/>
        <v>86650</v>
      </c>
      <c r="K400" s="8" t="str">
        <f t="shared" si="27"/>
        <v/>
      </c>
    </row>
    <row r="401" spans="2:11" hidden="1">
      <c r="B401" s="7">
        <v>41402</v>
      </c>
      <c r="C401" s="3" t="s">
        <v>44</v>
      </c>
      <c r="D401" s="6" t="s">
        <v>14</v>
      </c>
      <c r="E401" s="3" t="s">
        <v>12</v>
      </c>
      <c r="F401" s="5">
        <v>6</v>
      </c>
      <c r="G401" s="5">
        <v>4060</v>
      </c>
      <c r="H401" s="8">
        <f t="shared" si="24"/>
        <v>24360</v>
      </c>
      <c r="I401" s="8">
        <f t="shared" si="25"/>
        <v>2430</v>
      </c>
      <c r="J401" s="8" t="str">
        <f t="shared" si="26"/>
        <v/>
      </c>
      <c r="K401" s="8">
        <f t="shared" si="27"/>
        <v>26790</v>
      </c>
    </row>
    <row r="402" spans="2:11" hidden="1">
      <c r="B402" s="7">
        <v>41402</v>
      </c>
      <c r="C402" s="3" t="s">
        <v>45</v>
      </c>
      <c r="D402" s="6" t="s">
        <v>20</v>
      </c>
      <c r="E402" s="3" t="s">
        <v>12</v>
      </c>
      <c r="F402" s="5">
        <v>15</v>
      </c>
      <c r="G402" s="5">
        <v>9860</v>
      </c>
      <c r="H402" s="8">
        <f t="shared" si="24"/>
        <v>147900</v>
      </c>
      <c r="I402" s="8">
        <f t="shared" si="25"/>
        <v>14790</v>
      </c>
      <c r="J402" s="8" t="str">
        <f t="shared" si="26"/>
        <v/>
      </c>
      <c r="K402" s="8">
        <f t="shared" si="27"/>
        <v>162690</v>
      </c>
    </row>
    <row r="403" spans="2:11" hidden="1">
      <c r="B403" s="7">
        <v>41402</v>
      </c>
      <c r="C403" s="3" t="s">
        <v>38</v>
      </c>
      <c r="D403" s="6" t="s">
        <v>17</v>
      </c>
      <c r="E403" s="3" t="s">
        <v>12</v>
      </c>
      <c r="F403" s="5">
        <v>35</v>
      </c>
      <c r="G403" s="5">
        <v>20710</v>
      </c>
      <c r="H403" s="8">
        <f t="shared" si="24"/>
        <v>724850</v>
      </c>
      <c r="I403" s="8">
        <f t="shared" si="25"/>
        <v>72480</v>
      </c>
      <c r="J403" s="8" t="str">
        <f t="shared" si="26"/>
        <v/>
      </c>
      <c r="K403" s="8">
        <f t="shared" si="27"/>
        <v>797330</v>
      </c>
    </row>
    <row r="404" spans="2:11" hidden="1">
      <c r="B404" s="7">
        <v>41402</v>
      </c>
      <c r="C404" s="3" t="s">
        <v>44</v>
      </c>
      <c r="D404" s="6" t="s">
        <v>18</v>
      </c>
      <c r="E404" s="3" t="s">
        <v>0</v>
      </c>
      <c r="F404" s="5">
        <v>30</v>
      </c>
      <c r="G404" s="5">
        <v>3430</v>
      </c>
      <c r="H404" s="8">
        <f t="shared" si="24"/>
        <v>102900</v>
      </c>
      <c r="I404" s="8">
        <f t="shared" si="25"/>
        <v>10290</v>
      </c>
      <c r="J404" s="8">
        <f t="shared" si="26"/>
        <v>113190</v>
      </c>
      <c r="K404" s="8" t="str">
        <f t="shared" si="27"/>
        <v/>
      </c>
    </row>
    <row r="405" spans="2:11" hidden="1">
      <c r="B405" s="7">
        <v>41403</v>
      </c>
      <c r="C405" s="3" t="s">
        <v>41</v>
      </c>
      <c r="D405" s="6" t="s">
        <v>26</v>
      </c>
      <c r="E405" s="3" t="s">
        <v>0</v>
      </c>
      <c r="F405" s="5">
        <v>33</v>
      </c>
      <c r="G405" s="5">
        <v>3690</v>
      </c>
      <c r="H405" s="8">
        <f t="shared" si="24"/>
        <v>121770</v>
      </c>
      <c r="I405" s="8">
        <f t="shared" si="25"/>
        <v>12170</v>
      </c>
      <c r="J405" s="8">
        <f t="shared" si="26"/>
        <v>133940</v>
      </c>
      <c r="K405" s="8" t="str">
        <f t="shared" si="27"/>
        <v/>
      </c>
    </row>
    <row r="406" spans="2:11" hidden="1">
      <c r="B406" s="7">
        <v>41403</v>
      </c>
      <c r="C406" s="3" t="s">
        <v>42</v>
      </c>
      <c r="D406" s="6" t="s">
        <v>13</v>
      </c>
      <c r="E406" s="3" t="s">
        <v>0</v>
      </c>
      <c r="F406" s="5">
        <v>19</v>
      </c>
      <c r="G406" s="5">
        <v>4230</v>
      </c>
      <c r="H406" s="8">
        <f t="shared" si="24"/>
        <v>80370</v>
      </c>
      <c r="I406" s="8">
        <f t="shared" si="25"/>
        <v>8030</v>
      </c>
      <c r="J406" s="8">
        <f t="shared" si="26"/>
        <v>88400</v>
      </c>
      <c r="K406" s="8" t="str">
        <f t="shared" si="27"/>
        <v/>
      </c>
    </row>
    <row r="407" spans="2:11" hidden="1">
      <c r="B407" s="7">
        <v>41404</v>
      </c>
      <c r="C407" s="3" t="s">
        <v>44</v>
      </c>
      <c r="D407" s="6" t="s">
        <v>22</v>
      </c>
      <c r="E407" s="3" t="s">
        <v>1</v>
      </c>
      <c r="F407" s="5">
        <v>18</v>
      </c>
      <c r="G407" s="5">
        <v>6320</v>
      </c>
      <c r="H407" s="8">
        <f t="shared" si="24"/>
        <v>113760</v>
      </c>
      <c r="I407" s="8">
        <f t="shared" si="25"/>
        <v>11370</v>
      </c>
      <c r="J407" s="8">
        <f t="shared" si="26"/>
        <v>125130</v>
      </c>
      <c r="K407" s="8" t="str">
        <f t="shared" si="27"/>
        <v/>
      </c>
    </row>
    <row r="408" spans="2:11" hidden="1">
      <c r="B408" s="7">
        <v>41404</v>
      </c>
      <c r="C408" s="3" t="s">
        <v>40</v>
      </c>
      <c r="D408" s="6" t="s">
        <v>13</v>
      </c>
      <c r="E408" s="3" t="s">
        <v>12</v>
      </c>
      <c r="F408" s="5">
        <v>22</v>
      </c>
      <c r="G408" s="5">
        <v>7850</v>
      </c>
      <c r="H408" s="8">
        <f t="shared" si="24"/>
        <v>172700</v>
      </c>
      <c r="I408" s="8">
        <f t="shared" si="25"/>
        <v>17270</v>
      </c>
      <c r="J408" s="8" t="str">
        <f t="shared" si="26"/>
        <v/>
      </c>
      <c r="K408" s="8">
        <f t="shared" si="27"/>
        <v>189970</v>
      </c>
    </row>
    <row r="409" spans="2:11" hidden="1">
      <c r="B409" s="7">
        <v>41404</v>
      </c>
      <c r="C409" s="3" t="s">
        <v>42</v>
      </c>
      <c r="D409" s="6" t="s">
        <v>22</v>
      </c>
      <c r="E409" s="3" t="s">
        <v>12</v>
      </c>
      <c r="F409" s="5">
        <v>5</v>
      </c>
      <c r="G409" s="5">
        <v>9080</v>
      </c>
      <c r="H409" s="8">
        <f t="shared" si="24"/>
        <v>45400</v>
      </c>
      <c r="I409" s="8">
        <f t="shared" si="25"/>
        <v>4540</v>
      </c>
      <c r="J409" s="8" t="str">
        <f t="shared" si="26"/>
        <v/>
      </c>
      <c r="K409" s="8">
        <f t="shared" si="27"/>
        <v>49940</v>
      </c>
    </row>
    <row r="410" spans="2:11" hidden="1">
      <c r="B410" s="7">
        <v>41404</v>
      </c>
      <c r="C410" s="3" t="s">
        <v>44</v>
      </c>
      <c r="D410" s="6" t="s">
        <v>21</v>
      </c>
      <c r="E410" s="3" t="s">
        <v>0</v>
      </c>
      <c r="F410" s="5">
        <v>28</v>
      </c>
      <c r="G410" s="5">
        <v>2770</v>
      </c>
      <c r="H410" s="8">
        <f t="shared" si="24"/>
        <v>77560</v>
      </c>
      <c r="I410" s="8">
        <f t="shared" si="25"/>
        <v>7750</v>
      </c>
      <c r="J410" s="8">
        <f t="shared" si="26"/>
        <v>85310</v>
      </c>
      <c r="K410" s="8" t="str">
        <f t="shared" si="27"/>
        <v/>
      </c>
    </row>
    <row r="411" spans="2:11" hidden="1">
      <c r="B411" s="7">
        <v>41404</v>
      </c>
      <c r="C411" s="3" t="s">
        <v>45</v>
      </c>
      <c r="D411" s="6" t="s">
        <v>27</v>
      </c>
      <c r="E411" s="3" t="s">
        <v>0</v>
      </c>
      <c r="F411" s="5">
        <v>24</v>
      </c>
      <c r="G411" s="5">
        <v>3400</v>
      </c>
      <c r="H411" s="8">
        <f t="shared" si="24"/>
        <v>81600</v>
      </c>
      <c r="I411" s="8">
        <f t="shared" si="25"/>
        <v>8160</v>
      </c>
      <c r="J411" s="8">
        <f t="shared" si="26"/>
        <v>89760</v>
      </c>
      <c r="K411" s="8" t="str">
        <f t="shared" si="27"/>
        <v/>
      </c>
    </row>
    <row r="412" spans="2:11" hidden="1">
      <c r="B412" s="7">
        <v>41405</v>
      </c>
      <c r="C412" s="3" t="s">
        <v>39</v>
      </c>
      <c r="D412" s="6" t="s">
        <v>21</v>
      </c>
      <c r="E412" s="3" t="s">
        <v>12</v>
      </c>
      <c r="F412" s="5">
        <v>19</v>
      </c>
      <c r="G412" s="5">
        <v>5940</v>
      </c>
      <c r="H412" s="8">
        <f t="shared" si="24"/>
        <v>112860</v>
      </c>
      <c r="I412" s="8">
        <f t="shared" si="25"/>
        <v>11280</v>
      </c>
      <c r="J412" s="8" t="str">
        <f t="shared" si="26"/>
        <v/>
      </c>
      <c r="K412" s="8">
        <f t="shared" si="27"/>
        <v>124140</v>
      </c>
    </row>
    <row r="413" spans="2:11" hidden="1">
      <c r="B413" s="7">
        <v>41405</v>
      </c>
      <c r="C413" s="3" t="s">
        <v>45</v>
      </c>
      <c r="D413" s="6" t="s">
        <v>26</v>
      </c>
      <c r="E413" s="3" t="s">
        <v>12</v>
      </c>
      <c r="F413" s="5">
        <v>6</v>
      </c>
      <c r="G413" s="5">
        <v>8330</v>
      </c>
      <c r="H413" s="8">
        <f t="shared" si="24"/>
        <v>49980</v>
      </c>
      <c r="I413" s="8">
        <f t="shared" si="25"/>
        <v>4990</v>
      </c>
      <c r="J413" s="8" t="str">
        <f t="shared" si="26"/>
        <v/>
      </c>
      <c r="K413" s="8">
        <f t="shared" si="27"/>
        <v>54970</v>
      </c>
    </row>
    <row r="414" spans="2:11" hidden="1">
      <c r="B414" s="7">
        <v>41405</v>
      </c>
      <c r="C414" s="3" t="s">
        <v>44</v>
      </c>
      <c r="D414" s="6" t="s">
        <v>22</v>
      </c>
      <c r="E414" s="3" t="s">
        <v>12</v>
      </c>
      <c r="F414" s="5">
        <v>36</v>
      </c>
      <c r="G414" s="5">
        <v>9580</v>
      </c>
      <c r="H414" s="8">
        <f t="shared" si="24"/>
        <v>344880</v>
      </c>
      <c r="I414" s="8">
        <f t="shared" si="25"/>
        <v>34480</v>
      </c>
      <c r="J414" s="8" t="str">
        <f t="shared" si="26"/>
        <v/>
      </c>
      <c r="K414" s="8">
        <f t="shared" si="27"/>
        <v>379360</v>
      </c>
    </row>
    <row r="415" spans="2:11" hidden="1">
      <c r="B415" s="7">
        <v>41405</v>
      </c>
      <c r="C415" s="3" t="s">
        <v>39</v>
      </c>
      <c r="D415" s="6" t="s">
        <v>15</v>
      </c>
      <c r="E415" s="3" t="s">
        <v>0</v>
      </c>
      <c r="F415" s="5">
        <v>37</v>
      </c>
      <c r="G415" s="5">
        <v>2810</v>
      </c>
      <c r="H415" s="8">
        <f t="shared" si="24"/>
        <v>103970</v>
      </c>
      <c r="I415" s="8">
        <f t="shared" si="25"/>
        <v>10390</v>
      </c>
      <c r="J415" s="8">
        <f t="shared" si="26"/>
        <v>114360</v>
      </c>
      <c r="K415" s="8" t="str">
        <f t="shared" si="27"/>
        <v/>
      </c>
    </row>
    <row r="416" spans="2:11" hidden="1">
      <c r="B416" s="7">
        <v>41405</v>
      </c>
      <c r="C416" s="3" t="s">
        <v>37</v>
      </c>
      <c r="D416" s="6" t="s">
        <v>17</v>
      </c>
      <c r="E416" s="3" t="s">
        <v>0</v>
      </c>
      <c r="F416" s="5">
        <v>49</v>
      </c>
      <c r="G416" s="5">
        <v>8770</v>
      </c>
      <c r="H416" s="8">
        <f t="shared" si="24"/>
        <v>429730</v>
      </c>
      <c r="I416" s="8">
        <f t="shared" si="25"/>
        <v>42970</v>
      </c>
      <c r="J416" s="8">
        <f t="shared" si="26"/>
        <v>472700</v>
      </c>
      <c r="K416" s="8" t="str">
        <f t="shared" si="27"/>
        <v/>
      </c>
    </row>
    <row r="417" spans="2:11" hidden="1">
      <c r="B417" s="7">
        <v>41406</v>
      </c>
      <c r="C417" s="3" t="s">
        <v>41</v>
      </c>
      <c r="D417" s="6" t="s">
        <v>15</v>
      </c>
      <c r="E417" s="3" t="s">
        <v>12</v>
      </c>
      <c r="F417" s="5">
        <v>26</v>
      </c>
      <c r="G417" s="5">
        <v>6190</v>
      </c>
      <c r="H417" s="8">
        <f t="shared" si="24"/>
        <v>160940</v>
      </c>
      <c r="I417" s="8">
        <f t="shared" si="25"/>
        <v>16090</v>
      </c>
      <c r="J417" s="8" t="str">
        <f t="shared" si="26"/>
        <v/>
      </c>
      <c r="K417" s="8">
        <f t="shared" si="27"/>
        <v>177030</v>
      </c>
    </row>
    <row r="418" spans="2:11" hidden="1">
      <c r="B418" s="7">
        <v>41407</v>
      </c>
      <c r="C418" s="3" t="s">
        <v>38</v>
      </c>
      <c r="D418" s="6" t="s">
        <v>11</v>
      </c>
      <c r="E418" s="3" t="s">
        <v>12</v>
      </c>
      <c r="F418" s="5">
        <v>13</v>
      </c>
      <c r="G418" s="5">
        <v>7320</v>
      </c>
      <c r="H418" s="8">
        <f t="shared" si="24"/>
        <v>95160</v>
      </c>
      <c r="I418" s="8">
        <f t="shared" si="25"/>
        <v>9510</v>
      </c>
      <c r="J418" s="8" t="str">
        <f t="shared" si="26"/>
        <v/>
      </c>
      <c r="K418" s="8">
        <f t="shared" si="27"/>
        <v>104670</v>
      </c>
    </row>
    <row r="419" spans="2:11" hidden="1">
      <c r="B419" s="7">
        <v>41408</v>
      </c>
      <c r="C419" s="3" t="s">
        <v>42</v>
      </c>
      <c r="D419" s="6" t="s">
        <v>15</v>
      </c>
      <c r="E419" s="3" t="s">
        <v>0</v>
      </c>
      <c r="F419" s="5">
        <v>28</v>
      </c>
      <c r="G419" s="5">
        <v>2770</v>
      </c>
      <c r="H419" s="8">
        <f t="shared" si="24"/>
        <v>77560</v>
      </c>
      <c r="I419" s="8">
        <f t="shared" si="25"/>
        <v>7750</v>
      </c>
      <c r="J419" s="8">
        <f t="shared" si="26"/>
        <v>85310</v>
      </c>
      <c r="K419" s="8" t="str">
        <f t="shared" si="27"/>
        <v/>
      </c>
    </row>
    <row r="420" spans="2:11" hidden="1">
      <c r="B420" s="7">
        <v>41408</v>
      </c>
      <c r="C420" s="3" t="s">
        <v>43</v>
      </c>
      <c r="D420" s="6" t="s">
        <v>23</v>
      </c>
      <c r="E420" s="3" t="s">
        <v>0</v>
      </c>
      <c r="F420" s="5">
        <v>27</v>
      </c>
      <c r="G420" s="5">
        <v>3400</v>
      </c>
      <c r="H420" s="8">
        <f t="shared" si="24"/>
        <v>91800</v>
      </c>
      <c r="I420" s="8">
        <f t="shared" si="25"/>
        <v>9180</v>
      </c>
      <c r="J420" s="8">
        <f t="shared" si="26"/>
        <v>100980</v>
      </c>
      <c r="K420" s="8" t="str">
        <f t="shared" si="27"/>
        <v/>
      </c>
    </row>
    <row r="421" spans="2:11" hidden="1">
      <c r="B421" s="7">
        <v>41408</v>
      </c>
      <c r="C421" s="3" t="s">
        <v>37</v>
      </c>
      <c r="D421" s="6" t="s">
        <v>16</v>
      </c>
      <c r="E421" s="3" t="s">
        <v>0</v>
      </c>
      <c r="F421" s="5">
        <v>28</v>
      </c>
      <c r="G421" s="5">
        <v>2240</v>
      </c>
      <c r="H421" s="8">
        <f t="shared" si="24"/>
        <v>62720</v>
      </c>
      <c r="I421" s="8">
        <f t="shared" si="25"/>
        <v>6270</v>
      </c>
      <c r="J421" s="8">
        <f t="shared" si="26"/>
        <v>68990</v>
      </c>
      <c r="K421" s="8" t="str">
        <f t="shared" si="27"/>
        <v/>
      </c>
    </row>
    <row r="422" spans="2:11" hidden="1">
      <c r="B422" s="7">
        <v>41408</v>
      </c>
      <c r="C422" s="3" t="s">
        <v>41</v>
      </c>
      <c r="D422" s="6" t="s">
        <v>25</v>
      </c>
      <c r="E422" s="3" t="s">
        <v>0</v>
      </c>
      <c r="F422" s="5">
        <v>26</v>
      </c>
      <c r="G422" s="5">
        <v>5210</v>
      </c>
      <c r="H422" s="8">
        <f t="shared" si="24"/>
        <v>135460</v>
      </c>
      <c r="I422" s="8">
        <f t="shared" si="25"/>
        <v>13540</v>
      </c>
      <c r="J422" s="8">
        <f t="shared" si="26"/>
        <v>149000</v>
      </c>
      <c r="K422" s="8" t="str">
        <f t="shared" si="27"/>
        <v/>
      </c>
    </row>
    <row r="423" spans="2:11" hidden="1">
      <c r="B423" s="7">
        <v>41408</v>
      </c>
      <c r="C423" s="3" t="s">
        <v>41</v>
      </c>
      <c r="D423" s="6" t="s">
        <v>17</v>
      </c>
      <c r="E423" s="3" t="s">
        <v>0</v>
      </c>
      <c r="F423" s="5">
        <v>44</v>
      </c>
      <c r="G423" s="5">
        <v>9000</v>
      </c>
      <c r="H423" s="8">
        <f t="shared" si="24"/>
        <v>396000</v>
      </c>
      <c r="I423" s="8">
        <f t="shared" si="25"/>
        <v>39600</v>
      </c>
      <c r="J423" s="8">
        <f t="shared" si="26"/>
        <v>435600</v>
      </c>
      <c r="K423" s="8" t="str">
        <f t="shared" si="27"/>
        <v/>
      </c>
    </row>
    <row r="424" spans="2:11" hidden="1">
      <c r="B424" s="7">
        <v>41409</v>
      </c>
      <c r="C424" s="3" t="s">
        <v>36</v>
      </c>
      <c r="D424" s="6" t="s">
        <v>26</v>
      </c>
      <c r="E424" s="3" t="s">
        <v>1</v>
      </c>
      <c r="F424" s="5">
        <v>47</v>
      </c>
      <c r="G424" s="5">
        <v>6320</v>
      </c>
      <c r="H424" s="8">
        <f t="shared" si="24"/>
        <v>297040</v>
      </c>
      <c r="I424" s="8">
        <f t="shared" si="25"/>
        <v>29700</v>
      </c>
      <c r="J424" s="8">
        <f t="shared" si="26"/>
        <v>326740</v>
      </c>
      <c r="K424" s="8" t="str">
        <f t="shared" si="27"/>
        <v/>
      </c>
    </row>
    <row r="425" spans="2:11" hidden="1">
      <c r="B425" s="7">
        <v>41410</v>
      </c>
      <c r="C425" s="3" t="s">
        <v>42</v>
      </c>
      <c r="D425" s="6" t="s">
        <v>14</v>
      </c>
      <c r="E425" s="3" t="s">
        <v>12</v>
      </c>
      <c r="F425" s="5">
        <v>12</v>
      </c>
      <c r="G425" s="5">
        <v>4550</v>
      </c>
      <c r="H425" s="8">
        <f t="shared" si="24"/>
        <v>54600</v>
      </c>
      <c r="I425" s="8">
        <f t="shared" si="25"/>
        <v>5460</v>
      </c>
      <c r="J425" s="8" t="str">
        <f t="shared" si="26"/>
        <v/>
      </c>
      <c r="K425" s="8">
        <f t="shared" si="27"/>
        <v>60060</v>
      </c>
    </row>
    <row r="426" spans="2:11" hidden="1">
      <c r="B426" s="7">
        <v>41410</v>
      </c>
      <c r="C426" s="3" t="s">
        <v>43</v>
      </c>
      <c r="D426" s="6" t="s">
        <v>14</v>
      </c>
      <c r="E426" s="3" t="s">
        <v>12</v>
      </c>
      <c r="F426" s="5">
        <v>42</v>
      </c>
      <c r="G426" s="5">
        <v>6200</v>
      </c>
      <c r="H426" s="8">
        <f t="shared" si="24"/>
        <v>260400</v>
      </c>
      <c r="I426" s="8">
        <f t="shared" si="25"/>
        <v>26040</v>
      </c>
      <c r="J426" s="8" t="str">
        <f t="shared" si="26"/>
        <v/>
      </c>
      <c r="K426" s="8">
        <f t="shared" si="27"/>
        <v>286440</v>
      </c>
    </row>
    <row r="427" spans="2:11" hidden="1">
      <c r="B427" s="7">
        <v>41411</v>
      </c>
      <c r="C427" s="3" t="s">
        <v>43</v>
      </c>
      <c r="D427" s="6" t="s">
        <v>15</v>
      </c>
      <c r="E427" s="3" t="s">
        <v>12</v>
      </c>
      <c r="F427" s="5">
        <v>44</v>
      </c>
      <c r="G427" s="5">
        <v>6320</v>
      </c>
      <c r="H427" s="8">
        <f t="shared" si="24"/>
        <v>278080</v>
      </c>
      <c r="I427" s="8">
        <f t="shared" si="25"/>
        <v>27800</v>
      </c>
      <c r="J427" s="8" t="str">
        <f t="shared" si="26"/>
        <v/>
      </c>
      <c r="K427" s="8">
        <f t="shared" si="27"/>
        <v>305880</v>
      </c>
    </row>
    <row r="428" spans="2:11" hidden="1">
      <c r="B428" s="7">
        <v>41411</v>
      </c>
      <c r="C428" s="3" t="s">
        <v>39</v>
      </c>
      <c r="D428" s="6" t="s">
        <v>27</v>
      </c>
      <c r="E428" s="3" t="s">
        <v>12</v>
      </c>
      <c r="F428" s="5">
        <v>30</v>
      </c>
      <c r="G428" s="5">
        <v>6450</v>
      </c>
      <c r="H428" s="8">
        <f t="shared" si="24"/>
        <v>193500</v>
      </c>
      <c r="I428" s="8">
        <f t="shared" si="25"/>
        <v>19350</v>
      </c>
      <c r="J428" s="8" t="str">
        <f t="shared" si="26"/>
        <v/>
      </c>
      <c r="K428" s="8">
        <f t="shared" si="27"/>
        <v>212850</v>
      </c>
    </row>
    <row r="429" spans="2:11" hidden="1">
      <c r="B429" s="7">
        <v>41411</v>
      </c>
      <c r="C429" s="3" t="s">
        <v>44</v>
      </c>
      <c r="D429" s="6" t="s">
        <v>21</v>
      </c>
      <c r="E429" s="3" t="s">
        <v>12</v>
      </c>
      <c r="F429" s="5">
        <v>48</v>
      </c>
      <c r="G429" s="5">
        <v>9200</v>
      </c>
      <c r="H429" s="8">
        <f t="shared" si="24"/>
        <v>441600</v>
      </c>
      <c r="I429" s="8">
        <f t="shared" si="25"/>
        <v>44160</v>
      </c>
      <c r="J429" s="8" t="str">
        <f t="shared" si="26"/>
        <v/>
      </c>
      <c r="K429" s="8">
        <f t="shared" si="27"/>
        <v>485760</v>
      </c>
    </row>
    <row r="430" spans="2:11" hidden="1">
      <c r="B430" s="7">
        <v>41411</v>
      </c>
      <c r="C430" s="3" t="s">
        <v>44</v>
      </c>
      <c r="D430" s="6" t="s">
        <v>13</v>
      </c>
      <c r="E430" s="3" t="s">
        <v>12</v>
      </c>
      <c r="F430" s="5">
        <v>13</v>
      </c>
      <c r="G430" s="5">
        <v>10800</v>
      </c>
      <c r="H430" s="8">
        <f t="shared" si="24"/>
        <v>140400</v>
      </c>
      <c r="I430" s="8">
        <f t="shared" si="25"/>
        <v>14040</v>
      </c>
      <c r="J430" s="8" t="str">
        <f t="shared" si="26"/>
        <v/>
      </c>
      <c r="K430" s="8">
        <f t="shared" si="27"/>
        <v>154440</v>
      </c>
    </row>
    <row r="431" spans="2:11" hidden="1">
      <c r="B431" s="7">
        <v>41411</v>
      </c>
      <c r="C431" s="3" t="s">
        <v>42</v>
      </c>
      <c r="D431" s="6" t="s">
        <v>13</v>
      </c>
      <c r="E431" s="3" t="s">
        <v>0</v>
      </c>
      <c r="F431" s="5">
        <v>23</v>
      </c>
      <c r="G431" s="5">
        <v>3330</v>
      </c>
      <c r="H431" s="8">
        <f t="shared" si="24"/>
        <v>76590</v>
      </c>
      <c r="I431" s="8">
        <f t="shared" si="25"/>
        <v>7650</v>
      </c>
      <c r="J431" s="8">
        <f t="shared" si="26"/>
        <v>84240</v>
      </c>
      <c r="K431" s="8" t="str">
        <f t="shared" si="27"/>
        <v/>
      </c>
    </row>
    <row r="432" spans="2:11" hidden="1">
      <c r="B432" s="7">
        <v>41411</v>
      </c>
      <c r="C432" s="3" t="s">
        <v>45</v>
      </c>
      <c r="D432" s="6" t="s">
        <v>14</v>
      </c>
      <c r="E432" s="3" t="s">
        <v>0</v>
      </c>
      <c r="F432" s="5">
        <v>45</v>
      </c>
      <c r="G432" s="5">
        <v>1830</v>
      </c>
      <c r="H432" s="8">
        <f t="shared" si="24"/>
        <v>82350</v>
      </c>
      <c r="I432" s="8">
        <f t="shared" si="25"/>
        <v>8230</v>
      </c>
      <c r="J432" s="8">
        <f t="shared" si="26"/>
        <v>90580</v>
      </c>
      <c r="K432" s="8" t="str">
        <f t="shared" si="27"/>
        <v/>
      </c>
    </row>
    <row r="433" spans="2:11" hidden="1">
      <c r="B433" s="7">
        <v>41411</v>
      </c>
      <c r="C433" s="3" t="s">
        <v>41</v>
      </c>
      <c r="D433" s="6" t="s">
        <v>13</v>
      </c>
      <c r="E433" s="3" t="s">
        <v>0</v>
      </c>
      <c r="F433" s="5">
        <v>48</v>
      </c>
      <c r="G433" s="5">
        <v>3560</v>
      </c>
      <c r="H433" s="8">
        <f t="shared" si="24"/>
        <v>170880</v>
      </c>
      <c r="I433" s="8">
        <f t="shared" si="25"/>
        <v>17080</v>
      </c>
      <c r="J433" s="8">
        <f t="shared" si="26"/>
        <v>187960</v>
      </c>
      <c r="K433" s="8" t="str">
        <f t="shared" si="27"/>
        <v/>
      </c>
    </row>
    <row r="434" spans="2:11" hidden="1">
      <c r="B434" s="7">
        <v>41412</v>
      </c>
      <c r="C434" s="3" t="s">
        <v>42</v>
      </c>
      <c r="D434" s="6" t="s">
        <v>17</v>
      </c>
      <c r="E434" s="3" t="s">
        <v>12</v>
      </c>
      <c r="F434" s="5">
        <v>6</v>
      </c>
      <c r="G434" s="5">
        <v>19310</v>
      </c>
      <c r="H434" s="8">
        <f t="shared" si="24"/>
        <v>115860</v>
      </c>
      <c r="I434" s="8">
        <f t="shared" si="25"/>
        <v>11580</v>
      </c>
      <c r="J434" s="8" t="str">
        <f t="shared" si="26"/>
        <v/>
      </c>
      <c r="K434" s="8">
        <f t="shared" si="27"/>
        <v>127440</v>
      </c>
    </row>
    <row r="435" spans="2:11" hidden="1">
      <c r="B435" s="7">
        <v>41412</v>
      </c>
      <c r="C435" s="3" t="s">
        <v>42</v>
      </c>
      <c r="D435" s="6" t="s">
        <v>24</v>
      </c>
      <c r="E435" s="3" t="s">
        <v>0</v>
      </c>
      <c r="F435" s="5">
        <v>33</v>
      </c>
      <c r="G435" s="5">
        <v>4560</v>
      </c>
      <c r="H435" s="8">
        <f t="shared" si="24"/>
        <v>150480</v>
      </c>
      <c r="I435" s="8">
        <f t="shared" si="25"/>
        <v>15040</v>
      </c>
      <c r="J435" s="8">
        <f t="shared" si="26"/>
        <v>165520</v>
      </c>
      <c r="K435" s="8" t="str">
        <f t="shared" si="27"/>
        <v/>
      </c>
    </row>
    <row r="436" spans="2:11" hidden="1">
      <c r="B436" s="7">
        <v>41413</v>
      </c>
      <c r="C436" s="3" t="s">
        <v>43</v>
      </c>
      <c r="D436" s="6" t="s">
        <v>23</v>
      </c>
      <c r="E436" s="3" t="s">
        <v>0</v>
      </c>
      <c r="F436" s="5">
        <v>46</v>
      </c>
      <c r="G436" s="5">
        <v>2810</v>
      </c>
      <c r="H436" s="8">
        <f t="shared" si="24"/>
        <v>129260</v>
      </c>
      <c r="I436" s="8">
        <f t="shared" si="25"/>
        <v>12920</v>
      </c>
      <c r="J436" s="8">
        <f t="shared" si="26"/>
        <v>142180</v>
      </c>
      <c r="K436" s="8" t="str">
        <f t="shared" si="27"/>
        <v/>
      </c>
    </row>
    <row r="437" spans="2:11" hidden="1">
      <c r="B437" s="7">
        <v>41413</v>
      </c>
      <c r="C437" s="3" t="s">
        <v>44</v>
      </c>
      <c r="D437" s="6" t="s">
        <v>24</v>
      </c>
      <c r="E437" s="3" t="s">
        <v>0</v>
      </c>
      <c r="F437" s="5">
        <v>22</v>
      </c>
      <c r="G437" s="5">
        <v>4310</v>
      </c>
      <c r="H437" s="8">
        <f t="shared" si="24"/>
        <v>94820</v>
      </c>
      <c r="I437" s="8">
        <f t="shared" si="25"/>
        <v>9480</v>
      </c>
      <c r="J437" s="8">
        <f t="shared" si="26"/>
        <v>104300</v>
      </c>
      <c r="K437" s="8" t="str">
        <f t="shared" si="27"/>
        <v/>
      </c>
    </row>
    <row r="438" spans="2:11" hidden="1">
      <c r="B438" s="7">
        <v>41414</v>
      </c>
      <c r="C438" s="3" t="s">
        <v>36</v>
      </c>
      <c r="D438" s="6" t="s">
        <v>27</v>
      </c>
      <c r="E438" s="3" t="s">
        <v>12</v>
      </c>
      <c r="F438" s="5">
        <v>32</v>
      </c>
      <c r="G438" s="5">
        <v>8700</v>
      </c>
      <c r="H438" s="8">
        <f t="shared" si="24"/>
        <v>278400</v>
      </c>
      <c r="I438" s="8">
        <f t="shared" si="25"/>
        <v>27840</v>
      </c>
      <c r="J438" s="8" t="str">
        <f t="shared" si="26"/>
        <v/>
      </c>
      <c r="K438" s="8">
        <f t="shared" si="27"/>
        <v>306240</v>
      </c>
    </row>
    <row r="439" spans="2:11" hidden="1">
      <c r="B439" s="7">
        <v>41414</v>
      </c>
      <c r="C439" s="3" t="s">
        <v>39</v>
      </c>
      <c r="D439" s="6" t="s">
        <v>17</v>
      </c>
      <c r="E439" s="3" t="s">
        <v>1</v>
      </c>
      <c r="F439" s="5">
        <v>37</v>
      </c>
      <c r="G439" s="5">
        <v>17900</v>
      </c>
      <c r="H439" s="8">
        <f t="shared" si="24"/>
        <v>662300</v>
      </c>
      <c r="I439" s="8">
        <f t="shared" si="25"/>
        <v>66230</v>
      </c>
      <c r="J439" s="8">
        <f t="shared" si="26"/>
        <v>728530</v>
      </c>
      <c r="K439" s="8" t="str">
        <f t="shared" si="27"/>
        <v/>
      </c>
    </row>
    <row r="440" spans="2:11" hidden="1">
      <c r="B440" s="7">
        <v>41414</v>
      </c>
      <c r="C440" s="3" t="s">
        <v>40</v>
      </c>
      <c r="D440" s="6" t="s">
        <v>14</v>
      </c>
      <c r="E440" s="3" t="s">
        <v>0</v>
      </c>
      <c r="F440" s="5">
        <v>37</v>
      </c>
      <c r="G440" s="5">
        <v>3580</v>
      </c>
      <c r="H440" s="8">
        <f t="shared" si="24"/>
        <v>132460</v>
      </c>
      <c r="I440" s="8">
        <f t="shared" si="25"/>
        <v>13240</v>
      </c>
      <c r="J440" s="8">
        <f t="shared" si="26"/>
        <v>145700</v>
      </c>
      <c r="K440" s="8" t="str">
        <f t="shared" si="27"/>
        <v/>
      </c>
    </row>
    <row r="441" spans="2:11" hidden="1">
      <c r="B441" s="7">
        <v>41414</v>
      </c>
      <c r="C441" s="3" t="s">
        <v>36</v>
      </c>
      <c r="D441" s="6" t="s">
        <v>13</v>
      </c>
      <c r="E441" s="3" t="s">
        <v>0</v>
      </c>
      <c r="F441" s="5">
        <v>39</v>
      </c>
      <c r="G441" s="5">
        <v>4900</v>
      </c>
      <c r="H441" s="8">
        <f t="shared" si="24"/>
        <v>191100</v>
      </c>
      <c r="I441" s="8">
        <f t="shared" si="25"/>
        <v>19110</v>
      </c>
      <c r="J441" s="8">
        <f t="shared" si="26"/>
        <v>210210</v>
      </c>
      <c r="K441" s="8" t="str">
        <f t="shared" si="27"/>
        <v/>
      </c>
    </row>
    <row r="442" spans="2:11" hidden="1">
      <c r="B442" s="7">
        <v>41415</v>
      </c>
      <c r="C442" s="3" t="s">
        <v>39</v>
      </c>
      <c r="D442" s="6" t="s">
        <v>13</v>
      </c>
      <c r="E442" s="3" t="s">
        <v>1</v>
      </c>
      <c r="F442" s="5">
        <v>44</v>
      </c>
      <c r="G442" s="5">
        <v>10260</v>
      </c>
      <c r="H442" s="8">
        <f t="shared" si="24"/>
        <v>451440</v>
      </c>
      <c r="I442" s="8">
        <f t="shared" si="25"/>
        <v>45140</v>
      </c>
      <c r="J442" s="8">
        <f t="shared" si="26"/>
        <v>496580</v>
      </c>
      <c r="K442" s="8" t="str">
        <f t="shared" si="27"/>
        <v/>
      </c>
    </row>
    <row r="443" spans="2:11" hidden="1">
      <c r="B443" s="7">
        <v>41415</v>
      </c>
      <c r="C443" s="3" t="s">
        <v>37</v>
      </c>
      <c r="D443" s="6" t="s">
        <v>29</v>
      </c>
      <c r="E443" s="3" t="s">
        <v>0</v>
      </c>
      <c r="F443" s="5">
        <v>17</v>
      </c>
      <c r="G443" s="5">
        <v>4190</v>
      </c>
      <c r="H443" s="8">
        <f t="shared" si="24"/>
        <v>71230</v>
      </c>
      <c r="I443" s="8">
        <f t="shared" si="25"/>
        <v>7120</v>
      </c>
      <c r="J443" s="8">
        <f t="shared" si="26"/>
        <v>78350</v>
      </c>
      <c r="K443" s="8" t="str">
        <f t="shared" si="27"/>
        <v/>
      </c>
    </row>
    <row r="444" spans="2:11" hidden="1">
      <c r="B444" s="7">
        <v>41415</v>
      </c>
      <c r="C444" s="3" t="s">
        <v>38</v>
      </c>
      <c r="D444" s="6" t="s">
        <v>16</v>
      </c>
      <c r="E444" s="3" t="s">
        <v>0</v>
      </c>
      <c r="F444" s="5">
        <v>16</v>
      </c>
      <c r="G444" s="5">
        <v>7000</v>
      </c>
      <c r="H444" s="8">
        <f t="shared" si="24"/>
        <v>112000</v>
      </c>
      <c r="I444" s="8">
        <f t="shared" si="25"/>
        <v>11200</v>
      </c>
      <c r="J444" s="8">
        <f t="shared" si="26"/>
        <v>123200</v>
      </c>
      <c r="K444" s="8" t="str">
        <f t="shared" si="27"/>
        <v/>
      </c>
    </row>
    <row r="445" spans="2:11" hidden="1">
      <c r="B445" s="7">
        <v>41416</v>
      </c>
      <c r="C445" s="3" t="s">
        <v>42</v>
      </c>
      <c r="D445" s="6" t="s">
        <v>26</v>
      </c>
      <c r="E445" s="3" t="s">
        <v>12</v>
      </c>
      <c r="F445" s="5">
        <v>49</v>
      </c>
      <c r="G445" s="5">
        <v>7570</v>
      </c>
      <c r="H445" s="8">
        <f t="shared" si="24"/>
        <v>370930</v>
      </c>
      <c r="I445" s="8">
        <f t="shared" si="25"/>
        <v>37090</v>
      </c>
      <c r="J445" s="8" t="str">
        <f t="shared" si="26"/>
        <v/>
      </c>
      <c r="K445" s="8">
        <f t="shared" si="27"/>
        <v>408020</v>
      </c>
    </row>
    <row r="446" spans="2:11" hidden="1">
      <c r="B446" s="7">
        <v>41416</v>
      </c>
      <c r="C446" s="3" t="s">
        <v>43</v>
      </c>
      <c r="D446" s="6" t="s">
        <v>19</v>
      </c>
      <c r="E446" s="3" t="s">
        <v>0</v>
      </c>
      <c r="F446" s="5">
        <v>43</v>
      </c>
      <c r="G446" s="5">
        <v>1810</v>
      </c>
      <c r="H446" s="8">
        <f t="shared" si="24"/>
        <v>77830</v>
      </c>
      <c r="I446" s="8">
        <f t="shared" si="25"/>
        <v>7780</v>
      </c>
      <c r="J446" s="8">
        <f t="shared" si="26"/>
        <v>85610</v>
      </c>
      <c r="K446" s="8" t="str">
        <f t="shared" si="27"/>
        <v/>
      </c>
    </row>
    <row r="447" spans="2:11" hidden="1">
      <c r="B447" s="7">
        <v>41416</v>
      </c>
      <c r="C447" s="3" t="s">
        <v>43</v>
      </c>
      <c r="D447" s="6" t="s">
        <v>23</v>
      </c>
      <c r="E447" s="3" t="s">
        <v>0</v>
      </c>
      <c r="F447" s="5">
        <v>20</v>
      </c>
      <c r="G447" s="5">
        <v>3810</v>
      </c>
      <c r="H447" s="8">
        <f t="shared" si="24"/>
        <v>76200</v>
      </c>
      <c r="I447" s="8">
        <f t="shared" si="25"/>
        <v>7620</v>
      </c>
      <c r="J447" s="8">
        <f t="shared" si="26"/>
        <v>83820</v>
      </c>
      <c r="K447" s="8" t="str">
        <f t="shared" si="27"/>
        <v/>
      </c>
    </row>
    <row r="448" spans="2:11" hidden="1">
      <c r="B448" s="7">
        <v>41417</v>
      </c>
      <c r="C448" s="3" t="s">
        <v>38</v>
      </c>
      <c r="D448" s="6" t="s">
        <v>23</v>
      </c>
      <c r="E448" s="3" t="s">
        <v>0</v>
      </c>
      <c r="F448" s="5">
        <v>33</v>
      </c>
      <c r="G448" s="5">
        <v>3020</v>
      </c>
      <c r="H448" s="8">
        <f t="shared" si="24"/>
        <v>99660</v>
      </c>
      <c r="I448" s="8">
        <f t="shared" si="25"/>
        <v>9960</v>
      </c>
      <c r="J448" s="8">
        <f t="shared" si="26"/>
        <v>109620</v>
      </c>
      <c r="K448" s="8" t="str">
        <f t="shared" si="27"/>
        <v/>
      </c>
    </row>
    <row r="449" spans="2:11" hidden="1">
      <c r="B449" s="7">
        <v>41417</v>
      </c>
      <c r="C449" s="3" t="s">
        <v>42</v>
      </c>
      <c r="D449" s="6" t="s">
        <v>13</v>
      </c>
      <c r="E449" s="3" t="s">
        <v>0</v>
      </c>
      <c r="F449" s="5">
        <v>10</v>
      </c>
      <c r="G449" s="5">
        <v>4370</v>
      </c>
      <c r="H449" s="8">
        <f t="shared" si="24"/>
        <v>43700</v>
      </c>
      <c r="I449" s="8">
        <f t="shared" si="25"/>
        <v>4370</v>
      </c>
      <c r="J449" s="8">
        <f t="shared" si="26"/>
        <v>48070</v>
      </c>
      <c r="K449" s="8" t="str">
        <f t="shared" si="27"/>
        <v/>
      </c>
    </row>
    <row r="450" spans="2:11" hidden="1">
      <c r="B450" s="7">
        <v>41418</v>
      </c>
      <c r="C450" s="3" t="s">
        <v>43</v>
      </c>
      <c r="D450" s="6" t="s">
        <v>24</v>
      </c>
      <c r="E450" s="3" t="s">
        <v>12</v>
      </c>
      <c r="F450" s="5">
        <v>43</v>
      </c>
      <c r="G450" s="5">
        <v>7200</v>
      </c>
      <c r="H450" s="8">
        <f t="shared" si="24"/>
        <v>309600</v>
      </c>
      <c r="I450" s="8">
        <f t="shared" si="25"/>
        <v>30960</v>
      </c>
      <c r="J450" s="8" t="str">
        <f t="shared" si="26"/>
        <v/>
      </c>
      <c r="K450" s="8">
        <f t="shared" si="27"/>
        <v>340560</v>
      </c>
    </row>
    <row r="451" spans="2:11" hidden="1">
      <c r="B451" s="7">
        <v>41418</v>
      </c>
      <c r="C451" s="3" t="s">
        <v>38</v>
      </c>
      <c r="D451" s="6" t="s">
        <v>20</v>
      </c>
      <c r="E451" s="3" t="s">
        <v>12</v>
      </c>
      <c r="F451" s="5">
        <v>8</v>
      </c>
      <c r="G451" s="5">
        <v>7850</v>
      </c>
      <c r="H451" s="8">
        <f t="shared" si="24"/>
        <v>62800</v>
      </c>
      <c r="I451" s="8">
        <f t="shared" si="25"/>
        <v>6280</v>
      </c>
      <c r="J451" s="8" t="str">
        <f t="shared" si="26"/>
        <v/>
      </c>
      <c r="K451" s="8">
        <f t="shared" si="27"/>
        <v>69080</v>
      </c>
    </row>
    <row r="452" spans="2:11" hidden="1">
      <c r="B452" s="7">
        <v>41418</v>
      </c>
      <c r="C452" s="3" t="s">
        <v>44</v>
      </c>
      <c r="D452" s="6" t="s">
        <v>28</v>
      </c>
      <c r="E452" s="3" t="s">
        <v>12</v>
      </c>
      <c r="F452" s="5">
        <v>43</v>
      </c>
      <c r="G452" s="5">
        <v>11300</v>
      </c>
      <c r="H452" s="8">
        <f t="shared" si="24"/>
        <v>485900</v>
      </c>
      <c r="I452" s="8">
        <f t="shared" si="25"/>
        <v>48590</v>
      </c>
      <c r="J452" s="8" t="str">
        <f t="shared" si="26"/>
        <v/>
      </c>
      <c r="K452" s="8">
        <f t="shared" si="27"/>
        <v>534490</v>
      </c>
    </row>
    <row r="453" spans="2:11" hidden="1">
      <c r="B453" s="7">
        <v>41419</v>
      </c>
      <c r="C453" s="3" t="s">
        <v>45</v>
      </c>
      <c r="D453" s="6" t="s">
        <v>18</v>
      </c>
      <c r="E453" s="3" t="s">
        <v>0</v>
      </c>
      <c r="F453" s="5">
        <v>35</v>
      </c>
      <c r="G453" s="5">
        <v>2490</v>
      </c>
      <c r="H453" s="8">
        <f t="shared" si="24"/>
        <v>87150</v>
      </c>
      <c r="I453" s="8">
        <f t="shared" si="25"/>
        <v>8710</v>
      </c>
      <c r="J453" s="8">
        <f t="shared" si="26"/>
        <v>95860</v>
      </c>
      <c r="K453" s="8" t="str">
        <f t="shared" si="27"/>
        <v/>
      </c>
    </row>
    <row r="454" spans="2:11" hidden="1">
      <c r="B454" s="7">
        <v>41420</v>
      </c>
      <c r="C454" s="3" t="s">
        <v>39</v>
      </c>
      <c r="D454" s="6" t="s">
        <v>29</v>
      </c>
      <c r="E454" s="3" t="s">
        <v>12</v>
      </c>
      <c r="F454" s="5">
        <v>36</v>
      </c>
      <c r="G454" s="5">
        <v>7950</v>
      </c>
      <c r="H454" s="8">
        <f t="shared" si="24"/>
        <v>286200</v>
      </c>
      <c r="I454" s="8">
        <f t="shared" si="25"/>
        <v>28620</v>
      </c>
      <c r="J454" s="8" t="str">
        <f t="shared" si="26"/>
        <v/>
      </c>
      <c r="K454" s="8">
        <f t="shared" si="27"/>
        <v>314820</v>
      </c>
    </row>
    <row r="455" spans="2:11" hidden="1">
      <c r="B455" s="7">
        <v>41420</v>
      </c>
      <c r="C455" s="3" t="s">
        <v>42</v>
      </c>
      <c r="D455" s="6" t="s">
        <v>16</v>
      </c>
      <c r="E455" s="3" t="s">
        <v>12</v>
      </c>
      <c r="F455" s="5">
        <v>36</v>
      </c>
      <c r="G455" s="5">
        <v>12790</v>
      </c>
      <c r="H455" s="8">
        <f t="shared" si="24"/>
        <v>460440</v>
      </c>
      <c r="I455" s="8">
        <f t="shared" si="25"/>
        <v>46040</v>
      </c>
      <c r="J455" s="8" t="str">
        <f t="shared" si="26"/>
        <v/>
      </c>
      <c r="K455" s="8">
        <f t="shared" si="27"/>
        <v>506480</v>
      </c>
    </row>
    <row r="456" spans="2:11" hidden="1">
      <c r="B456" s="7">
        <v>41420</v>
      </c>
      <c r="C456" s="3" t="s">
        <v>43</v>
      </c>
      <c r="D456" s="6" t="s">
        <v>23</v>
      </c>
      <c r="E456" s="3" t="s">
        <v>0</v>
      </c>
      <c r="F456" s="5">
        <v>27</v>
      </c>
      <c r="G456" s="5">
        <v>3940</v>
      </c>
      <c r="H456" s="8">
        <f t="shared" si="24"/>
        <v>106380</v>
      </c>
      <c r="I456" s="8">
        <f t="shared" si="25"/>
        <v>10630</v>
      </c>
      <c r="J456" s="8">
        <f t="shared" si="26"/>
        <v>117010</v>
      </c>
      <c r="K456" s="8" t="str">
        <f t="shared" si="27"/>
        <v/>
      </c>
    </row>
    <row r="457" spans="2:11" hidden="1">
      <c r="B457" s="7">
        <v>41420</v>
      </c>
      <c r="C457" s="3" t="s">
        <v>36</v>
      </c>
      <c r="D457" s="6" t="s">
        <v>22</v>
      </c>
      <c r="E457" s="3" t="s">
        <v>0</v>
      </c>
      <c r="F457" s="5">
        <v>38</v>
      </c>
      <c r="G457" s="5">
        <v>4690</v>
      </c>
      <c r="H457" s="8">
        <f t="shared" si="24"/>
        <v>178220</v>
      </c>
      <c r="I457" s="8">
        <f t="shared" si="25"/>
        <v>17820</v>
      </c>
      <c r="J457" s="8">
        <f t="shared" si="26"/>
        <v>196040</v>
      </c>
      <c r="K457" s="8" t="str">
        <f t="shared" si="27"/>
        <v/>
      </c>
    </row>
    <row r="458" spans="2:11" hidden="1">
      <c r="B458" s="7">
        <v>41421</v>
      </c>
      <c r="C458" s="3" t="s">
        <v>38</v>
      </c>
      <c r="D458" s="6" t="s">
        <v>23</v>
      </c>
      <c r="E458" s="3" t="s">
        <v>12</v>
      </c>
      <c r="F458" s="5">
        <v>8</v>
      </c>
      <c r="G458" s="5">
        <v>7570</v>
      </c>
      <c r="H458" s="8">
        <f t="shared" si="24"/>
        <v>60560</v>
      </c>
      <c r="I458" s="8">
        <f t="shared" si="25"/>
        <v>6050</v>
      </c>
      <c r="J458" s="8" t="str">
        <f t="shared" si="26"/>
        <v/>
      </c>
      <c r="K458" s="8">
        <f t="shared" si="27"/>
        <v>66610</v>
      </c>
    </row>
    <row r="459" spans="2:11" hidden="1">
      <c r="B459" s="7">
        <v>41421</v>
      </c>
      <c r="C459" s="3" t="s">
        <v>45</v>
      </c>
      <c r="D459" s="6" t="s">
        <v>13</v>
      </c>
      <c r="E459" s="3" t="s">
        <v>0</v>
      </c>
      <c r="F459" s="5">
        <v>39</v>
      </c>
      <c r="G459" s="5">
        <v>3160</v>
      </c>
      <c r="H459" s="8">
        <f t="shared" si="24"/>
        <v>123240</v>
      </c>
      <c r="I459" s="8">
        <f t="shared" si="25"/>
        <v>12320</v>
      </c>
      <c r="J459" s="8">
        <f t="shared" si="26"/>
        <v>135560</v>
      </c>
      <c r="K459" s="8" t="str">
        <f t="shared" si="27"/>
        <v/>
      </c>
    </row>
    <row r="460" spans="2:11" hidden="1">
      <c r="B460" s="7">
        <v>41421</v>
      </c>
      <c r="C460" s="3" t="s">
        <v>41</v>
      </c>
      <c r="D460" s="6" t="s">
        <v>25</v>
      </c>
      <c r="E460" s="3" t="s">
        <v>0</v>
      </c>
      <c r="F460" s="5">
        <v>36</v>
      </c>
      <c r="G460" s="5">
        <v>5810</v>
      </c>
      <c r="H460" s="8">
        <f t="shared" si="24"/>
        <v>209160</v>
      </c>
      <c r="I460" s="8">
        <f t="shared" si="25"/>
        <v>20910</v>
      </c>
      <c r="J460" s="8">
        <f t="shared" si="26"/>
        <v>230070</v>
      </c>
      <c r="K460" s="8" t="str">
        <f t="shared" si="27"/>
        <v/>
      </c>
    </row>
    <row r="461" spans="2:11" hidden="1">
      <c r="B461" s="7">
        <v>41422</v>
      </c>
      <c r="C461" s="3" t="s">
        <v>38</v>
      </c>
      <c r="D461" s="6" t="s">
        <v>15</v>
      </c>
      <c r="E461" s="3" t="s">
        <v>12</v>
      </c>
      <c r="F461" s="5">
        <v>11</v>
      </c>
      <c r="G461" s="5">
        <v>7700</v>
      </c>
      <c r="H461" s="8">
        <f t="shared" ref="H461:H524" si="28">F461*G461</f>
        <v>84700</v>
      </c>
      <c r="I461" s="8">
        <f t="shared" ref="I461:I524" si="29">TRUNC(H461*10%,-1)</f>
        <v>8470</v>
      </c>
      <c r="J461" s="8" t="str">
        <f t="shared" ref="J461:J524" si="30">IF(E461="매입",H461+I461,"")</f>
        <v/>
      </c>
      <c r="K461" s="8">
        <f t="shared" ref="K461:K524" si="31">IF(E461="매출",H461+I461,"")</f>
        <v>93170</v>
      </c>
    </row>
    <row r="462" spans="2:11" hidden="1">
      <c r="B462" s="7">
        <v>41423</v>
      </c>
      <c r="C462" s="3" t="s">
        <v>44</v>
      </c>
      <c r="D462" s="6" t="s">
        <v>27</v>
      </c>
      <c r="E462" s="3" t="s">
        <v>0</v>
      </c>
      <c r="F462" s="5">
        <v>22</v>
      </c>
      <c r="G462" s="5">
        <v>3400</v>
      </c>
      <c r="H462" s="8">
        <f t="shared" si="28"/>
        <v>74800</v>
      </c>
      <c r="I462" s="8">
        <f t="shared" si="29"/>
        <v>7480</v>
      </c>
      <c r="J462" s="8">
        <f t="shared" si="30"/>
        <v>82280</v>
      </c>
      <c r="K462" s="8" t="str">
        <f t="shared" si="31"/>
        <v/>
      </c>
    </row>
    <row r="463" spans="2:11" hidden="1">
      <c r="B463" s="7">
        <v>41424</v>
      </c>
      <c r="C463" s="3" t="s">
        <v>40</v>
      </c>
      <c r="D463" s="6" t="s">
        <v>15</v>
      </c>
      <c r="E463" s="3" t="s">
        <v>0</v>
      </c>
      <c r="F463" s="5">
        <v>8</v>
      </c>
      <c r="G463" s="5">
        <v>2900</v>
      </c>
      <c r="H463" s="8">
        <f t="shared" si="28"/>
        <v>23200</v>
      </c>
      <c r="I463" s="8">
        <f t="shared" si="29"/>
        <v>2320</v>
      </c>
      <c r="J463" s="8">
        <f t="shared" si="30"/>
        <v>25520</v>
      </c>
      <c r="K463" s="8" t="str">
        <f t="shared" si="31"/>
        <v/>
      </c>
    </row>
    <row r="464" spans="2:11" hidden="1">
      <c r="B464" s="7">
        <v>41425</v>
      </c>
      <c r="C464" s="3" t="s">
        <v>40</v>
      </c>
      <c r="D464" s="6" t="s">
        <v>16</v>
      </c>
      <c r="E464" s="3" t="s">
        <v>0</v>
      </c>
      <c r="F464" s="5">
        <v>35</v>
      </c>
      <c r="G464" s="5">
        <v>6400</v>
      </c>
      <c r="H464" s="8">
        <f t="shared" si="28"/>
        <v>224000</v>
      </c>
      <c r="I464" s="8">
        <f t="shared" si="29"/>
        <v>22400</v>
      </c>
      <c r="J464" s="8">
        <f t="shared" si="30"/>
        <v>246400</v>
      </c>
      <c r="K464" s="8" t="str">
        <f t="shared" si="31"/>
        <v/>
      </c>
    </row>
    <row r="465" spans="2:11" hidden="1">
      <c r="B465" s="7">
        <v>41426</v>
      </c>
      <c r="C465" s="3" t="s">
        <v>40</v>
      </c>
      <c r="D465" s="6" t="s">
        <v>26</v>
      </c>
      <c r="E465" s="3" t="s">
        <v>12</v>
      </c>
      <c r="F465" s="5">
        <v>35</v>
      </c>
      <c r="G465" s="5">
        <v>6070</v>
      </c>
      <c r="H465" s="8">
        <f t="shared" si="28"/>
        <v>212450</v>
      </c>
      <c r="I465" s="8">
        <f t="shared" si="29"/>
        <v>21240</v>
      </c>
      <c r="J465" s="8" t="str">
        <f t="shared" si="30"/>
        <v/>
      </c>
      <c r="K465" s="8">
        <f t="shared" si="31"/>
        <v>233690</v>
      </c>
    </row>
    <row r="466" spans="2:11" hidden="1">
      <c r="B466" s="7">
        <v>41426</v>
      </c>
      <c r="C466" s="3" t="s">
        <v>40</v>
      </c>
      <c r="D466" s="6" t="s">
        <v>29</v>
      </c>
      <c r="E466" s="3" t="s">
        <v>12</v>
      </c>
      <c r="F466" s="5">
        <v>27</v>
      </c>
      <c r="G466" s="5">
        <v>7570</v>
      </c>
      <c r="H466" s="8">
        <f t="shared" si="28"/>
        <v>204390</v>
      </c>
      <c r="I466" s="8">
        <f t="shared" si="29"/>
        <v>20430</v>
      </c>
      <c r="J466" s="8" t="str">
        <f t="shared" si="30"/>
        <v/>
      </c>
      <c r="K466" s="8">
        <f t="shared" si="31"/>
        <v>224820</v>
      </c>
    </row>
    <row r="467" spans="2:11" hidden="1">
      <c r="B467" s="7">
        <v>41426</v>
      </c>
      <c r="C467" s="3" t="s">
        <v>43</v>
      </c>
      <c r="D467" s="6" t="s">
        <v>20</v>
      </c>
      <c r="E467" s="3" t="s">
        <v>12</v>
      </c>
      <c r="F467" s="5">
        <v>28</v>
      </c>
      <c r="G467" s="5">
        <v>7980</v>
      </c>
      <c r="H467" s="8">
        <f t="shared" si="28"/>
        <v>223440</v>
      </c>
      <c r="I467" s="8">
        <f t="shared" si="29"/>
        <v>22340</v>
      </c>
      <c r="J467" s="8" t="str">
        <f t="shared" si="30"/>
        <v/>
      </c>
      <c r="K467" s="8">
        <f t="shared" si="31"/>
        <v>245780</v>
      </c>
    </row>
    <row r="468" spans="2:11" hidden="1">
      <c r="B468" s="7">
        <v>41426</v>
      </c>
      <c r="C468" s="3" t="s">
        <v>39</v>
      </c>
      <c r="D468" s="6" t="s">
        <v>20</v>
      </c>
      <c r="E468" s="3" t="s">
        <v>0</v>
      </c>
      <c r="F468" s="5">
        <v>13</v>
      </c>
      <c r="G468" s="5">
        <v>3160</v>
      </c>
      <c r="H468" s="8">
        <f t="shared" si="28"/>
        <v>41080</v>
      </c>
      <c r="I468" s="8">
        <f t="shared" si="29"/>
        <v>4100</v>
      </c>
      <c r="J468" s="8">
        <f t="shared" si="30"/>
        <v>45180</v>
      </c>
      <c r="K468" s="8" t="str">
        <f t="shared" si="31"/>
        <v/>
      </c>
    </row>
    <row r="469" spans="2:11" hidden="1">
      <c r="B469" s="7">
        <v>41426</v>
      </c>
      <c r="C469" s="3" t="s">
        <v>43</v>
      </c>
      <c r="D469" s="6" t="s">
        <v>27</v>
      </c>
      <c r="E469" s="3" t="s">
        <v>0</v>
      </c>
      <c r="F469" s="5">
        <v>28</v>
      </c>
      <c r="G469" s="5">
        <v>4310</v>
      </c>
      <c r="H469" s="8">
        <f t="shared" si="28"/>
        <v>120680</v>
      </c>
      <c r="I469" s="8">
        <f t="shared" si="29"/>
        <v>12060</v>
      </c>
      <c r="J469" s="8">
        <f t="shared" si="30"/>
        <v>132740</v>
      </c>
      <c r="K469" s="8" t="str">
        <f t="shared" si="31"/>
        <v/>
      </c>
    </row>
    <row r="470" spans="2:11" hidden="1">
      <c r="B470" s="7">
        <v>41426</v>
      </c>
      <c r="C470" s="3" t="s">
        <v>36</v>
      </c>
      <c r="D470" s="6" t="s">
        <v>29</v>
      </c>
      <c r="E470" s="3" t="s">
        <v>0</v>
      </c>
      <c r="F470" s="5">
        <v>34</v>
      </c>
      <c r="G470" s="5">
        <v>4940</v>
      </c>
      <c r="H470" s="8">
        <f t="shared" si="28"/>
        <v>167960</v>
      </c>
      <c r="I470" s="8">
        <f t="shared" si="29"/>
        <v>16790</v>
      </c>
      <c r="J470" s="8">
        <f t="shared" si="30"/>
        <v>184750</v>
      </c>
      <c r="K470" s="8" t="str">
        <f t="shared" si="31"/>
        <v/>
      </c>
    </row>
    <row r="471" spans="2:11" hidden="1">
      <c r="B471" s="7">
        <v>41426</v>
      </c>
      <c r="C471" s="3" t="s">
        <v>36</v>
      </c>
      <c r="D471" s="6" t="s">
        <v>21</v>
      </c>
      <c r="E471" s="3" t="s">
        <v>0</v>
      </c>
      <c r="F471" s="5">
        <v>50</v>
      </c>
      <c r="G471" s="5">
        <v>4940</v>
      </c>
      <c r="H471" s="8">
        <f t="shared" si="28"/>
        <v>247000</v>
      </c>
      <c r="I471" s="8">
        <f t="shared" si="29"/>
        <v>24700</v>
      </c>
      <c r="J471" s="8">
        <f t="shared" si="30"/>
        <v>271700</v>
      </c>
      <c r="K471" s="8" t="str">
        <f t="shared" si="31"/>
        <v/>
      </c>
    </row>
    <row r="472" spans="2:11" hidden="1">
      <c r="B472" s="7">
        <v>41427</v>
      </c>
      <c r="C472" s="3" t="s">
        <v>41</v>
      </c>
      <c r="D472" s="6" t="s">
        <v>22</v>
      </c>
      <c r="E472" s="3" t="s">
        <v>12</v>
      </c>
      <c r="F472" s="5">
        <v>12</v>
      </c>
      <c r="G472" s="5">
        <v>6190</v>
      </c>
      <c r="H472" s="8">
        <f t="shared" si="28"/>
        <v>74280</v>
      </c>
      <c r="I472" s="8">
        <f t="shared" si="29"/>
        <v>7420</v>
      </c>
      <c r="J472" s="8" t="str">
        <f t="shared" si="30"/>
        <v/>
      </c>
      <c r="K472" s="8">
        <f t="shared" si="31"/>
        <v>81700</v>
      </c>
    </row>
    <row r="473" spans="2:11" hidden="1">
      <c r="B473" s="7">
        <v>41427</v>
      </c>
      <c r="C473" s="3" t="s">
        <v>45</v>
      </c>
      <c r="D473" s="6" t="s">
        <v>19</v>
      </c>
      <c r="E473" s="3" t="s">
        <v>12</v>
      </c>
      <c r="F473" s="5">
        <v>35</v>
      </c>
      <c r="G473" s="5">
        <v>6820</v>
      </c>
      <c r="H473" s="8">
        <f t="shared" si="28"/>
        <v>238700</v>
      </c>
      <c r="I473" s="8">
        <f t="shared" si="29"/>
        <v>23870</v>
      </c>
      <c r="J473" s="8" t="str">
        <f t="shared" si="30"/>
        <v/>
      </c>
      <c r="K473" s="8">
        <f t="shared" si="31"/>
        <v>262570</v>
      </c>
    </row>
    <row r="474" spans="2:11" hidden="1">
      <c r="B474" s="7">
        <v>41427</v>
      </c>
      <c r="C474" s="3" t="s">
        <v>41</v>
      </c>
      <c r="D474" s="6" t="s">
        <v>26</v>
      </c>
      <c r="E474" s="3" t="s">
        <v>0</v>
      </c>
      <c r="F474" s="5">
        <v>34</v>
      </c>
      <c r="G474" s="5">
        <v>1430</v>
      </c>
      <c r="H474" s="8">
        <f t="shared" si="28"/>
        <v>48620</v>
      </c>
      <c r="I474" s="8">
        <f t="shared" si="29"/>
        <v>4860</v>
      </c>
      <c r="J474" s="8">
        <f t="shared" si="30"/>
        <v>53480</v>
      </c>
      <c r="K474" s="8" t="str">
        <f t="shared" si="31"/>
        <v/>
      </c>
    </row>
    <row r="475" spans="2:11" hidden="1">
      <c r="B475" s="7">
        <v>41427</v>
      </c>
      <c r="C475" s="3" t="s">
        <v>45</v>
      </c>
      <c r="D475" s="6" t="s">
        <v>15</v>
      </c>
      <c r="E475" s="3" t="s">
        <v>0</v>
      </c>
      <c r="F475" s="5">
        <v>14</v>
      </c>
      <c r="G475" s="5">
        <v>1550</v>
      </c>
      <c r="H475" s="8">
        <f t="shared" si="28"/>
        <v>21700</v>
      </c>
      <c r="I475" s="8">
        <f t="shared" si="29"/>
        <v>2170</v>
      </c>
      <c r="J475" s="8">
        <f t="shared" si="30"/>
        <v>23870</v>
      </c>
      <c r="K475" s="8" t="str">
        <f t="shared" si="31"/>
        <v/>
      </c>
    </row>
    <row r="476" spans="2:11" hidden="1">
      <c r="B476" s="7">
        <v>41428</v>
      </c>
      <c r="C476" s="3" t="s">
        <v>41</v>
      </c>
      <c r="D476" s="6" t="s">
        <v>26</v>
      </c>
      <c r="E476" s="3" t="s">
        <v>12</v>
      </c>
      <c r="F476" s="5">
        <v>17</v>
      </c>
      <c r="G476" s="5">
        <v>7450</v>
      </c>
      <c r="H476" s="8">
        <f t="shared" si="28"/>
        <v>126650</v>
      </c>
      <c r="I476" s="8">
        <f t="shared" si="29"/>
        <v>12660</v>
      </c>
      <c r="J476" s="8" t="str">
        <f t="shared" si="30"/>
        <v/>
      </c>
      <c r="K476" s="8">
        <f t="shared" si="31"/>
        <v>139310</v>
      </c>
    </row>
    <row r="477" spans="2:11" hidden="1">
      <c r="B477" s="7">
        <v>41428</v>
      </c>
      <c r="C477" s="3" t="s">
        <v>39</v>
      </c>
      <c r="D477" s="6" t="s">
        <v>16</v>
      </c>
      <c r="E477" s="3" t="s">
        <v>0</v>
      </c>
      <c r="F477" s="5">
        <v>17</v>
      </c>
      <c r="G477" s="5">
        <v>2240</v>
      </c>
      <c r="H477" s="8">
        <f t="shared" si="28"/>
        <v>38080</v>
      </c>
      <c r="I477" s="8">
        <f t="shared" si="29"/>
        <v>3800</v>
      </c>
      <c r="J477" s="8">
        <f t="shared" si="30"/>
        <v>41880</v>
      </c>
      <c r="K477" s="8" t="str">
        <f t="shared" si="31"/>
        <v/>
      </c>
    </row>
    <row r="478" spans="2:11" hidden="1">
      <c r="B478" s="7">
        <v>41429</v>
      </c>
      <c r="C478" s="3" t="s">
        <v>40</v>
      </c>
      <c r="D478" s="6" t="s">
        <v>14</v>
      </c>
      <c r="E478" s="3" t="s">
        <v>12</v>
      </c>
      <c r="F478" s="5">
        <v>40</v>
      </c>
      <c r="G478" s="5">
        <v>4840</v>
      </c>
      <c r="H478" s="8">
        <f t="shared" si="28"/>
        <v>193600</v>
      </c>
      <c r="I478" s="8">
        <f t="shared" si="29"/>
        <v>19360</v>
      </c>
      <c r="J478" s="8" t="str">
        <f t="shared" si="30"/>
        <v/>
      </c>
      <c r="K478" s="8">
        <f t="shared" si="31"/>
        <v>212960</v>
      </c>
    </row>
    <row r="479" spans="2:11" hidden="1">
      <c r="B479" s="7">
        <v>41429</v>
      </c>
      <c r="C479" s="3" t="s">
        <v>42</v>
      </c>
      <c r="D479" s="6" t="s">
        <v>21</v>
      </c>
      <c r="E479" s="3" t="s">
        <v>12</v>
      </c>
      <c r="F479" s="5">
        <v>27</v>
      </c>
      <c r="G479" s="5">
        <v>5940</v>
      </c>
      <c r="H479" s="8">
        <f t="shared" si="28"/>
        <v>160380</v>
      </c>
      <c r="I479" s="8">
        <f t="shared" si="29"/>
        <v>16030</v>
      </c>
      <c r="J479" s="8" t="str">
        <f t="shared" si="30"/>
        <v/>
      </c>
      <c r="K479" s="8">
        <f t="shared" si="31"/>
        <v>176410</v>
      </c>
    </row>
    <row r="480" spans="2:11" hidden="1">
      <c r="B480" s="7">
        <v>41429</v>
      </c>
      <c r="C480" s="3" t="s">
        <v>41</v>
      </c>
      <c r="D480" s="6" t="s">
        <v>18</v>
      </c>
      <c r="E480" s="3" t="s">
        <v>12</v>
      </c>
      <c r="F480" s="5">
        <v>18</v>
      </c>
      <c r="G480" s="5">
        <v>8250</v>
      </c>
      <c r="H480" s="8">
        <f t="shared" si="28"/>
        <v>148500</v>
      </c>
      <c r="I480" s="8">
        <f t="shared" si="29"/>
        <v>14850</v>
      </c>
      <c r="J480" s="8" t="str">
        <f t="shared" si="30"/>
        <v/>
      </c>
      <c r="K480" s="8">
        <f t="shared" si="31"/>
        <v>163350</v>
      </c>
    </row>
    <row r="481" spans="2:11" hidden="1">
      <c r="B481" s="7">
        <v>41429</v>
      </c>
      <c r="C481" s="3" t="s">
        <v>44</v>
      </c>
      <c r="D481" s="6" t="s">
        <v>16</v>
      </c>
      <c r="E481" s="3" t="s">
        <v>0</v>
      </c>
      <c r="F481" s="5">
        <v>17</v>
      </c>
      <c r="G481" s="5">
        <v>2100</v>
      </c>
      <c r="H481" s="8">
        <f t="shared" si="28"/>
        <v>35700</v>
      </c>
      <c r="I481" s="8">
        <f t="shared" si="29"/>
        <v>3570</v>
      </c>
      <c r="J481" s="8">
        <f t="shared" si="30"/>
        <v>39270</v>
      </c>
      <c r="K481" s="8" t="str">
        <f t="shared" si="31"/>
        <v/>
      </c>
    </row>
    <row r="482" spans="2:11" hidden="1">
      <c r="B482" s="7">
        <v>41430</v>
      </c>
      <c r="C482" s="3" t="s">
        <v>42</v>
      </c>
      <c r="D482" s="6" t="s">
        <v>14</v>
      </c>
      <c r="E482" s="3" t="s">
        <v>12</v>
      </c>
      <c r="F482" s="5">
        <v>10</v>
      </c>
      <c r="G482" s="5">
        <v>5710</v>
      </c>
      <c r="H482" s="8">
        <f t="shared" si="28"/>
        <v>57100</v>
      </c>
      <c r="I482" s="8">
        <f t="shared" si="29"/>
        <v>5710</v>
      </c>
      <c r="J482" s="8" t="str">
        <f t="shared" si="30"/>
        <v/>
      </c>
      <c r="K482" s="8">
        <f t="shared" si="31"/>
        <v>62810</v>
      </c>
    </row>
    <row r="483" spans="2:11" hidden="1">
      <c r="B483" s="7">
        <v>41430</v>
      </c>
      <c r="C483" s="3" t="s">
        <v>40</v>
      </c>
      <c r="D483" s="6" t="s">
        <v>18</v>
      </c>
      <c r="E483" s="3" t="s">
        <v>0</v>
      </c>
      <c r="F483" s="5">
        <v>12</v>
      </c>
      <c r="G483" s="5">
        <v>3830</v>
      </c>
      <c r="H483" s="8">
        <f t="shared" si="28"/>
        <v>45960</v>
      </c>
      <c r="I483" s="8">
        <f t="shared" si="29"/>
        <v>4590</v>
      </c>
      <c r="J483" s="8">
        <f t="shared" si="30"/>
        <v>50550</v>
      </c>
      <c r="K483" s="8" t="str">
        <f t="shared" si="31"/>
        <v/>
      </c>
    </row>
    <row r="484" spans="2:11" hidden="1">
      <c r="B484" s="7">
        <v>41431</v>
      </c>
      <c r="C484" s="3" t="s">
        <v>36</v>
      </c>
      <c r="D484" s="6" t="s">
        <v>16</v>
      </c>
      <c r="E484" s="3" t="s">
        <v>0</v>
      </c>
      <c r="F484" s="5">
        <v>18</v>
      </c>
      <c r="G484" s="5">
        <v>1500</v>
      </c>
      <c r="H484" s="8">
        <f t="shared" si="28"/>
        <v>27000</v>
      </c>
      <c r="I484" s="8">
        <f t="shared" si="29"/>
        <v>2700</v>
      </c>
      <c r="J484" s="8">
        <f t="shared" si="30"/>
        <v>29700</v>
      </c>
      <c r="K484" s="8" t="str">
        <f t="shared" si="31"/>
        <v/>
      </c>
    </row>
    <row r="485" spans="2:11" hidden="1">
      <c r="B485" s="7">
        <v>41431</v>
      </c>
      <c r="C485" s="3" t="s">
        <v>41</v>
      </c>
      <c r="D485" s="6" t="s">
        <v>20</v>
      </c>
      <c r="E485" s="3" t="s">
        <v>0</v>
      </c>
      <c r="F485" s="5">
        <v>40</v>
      </c>
      <c r="G485" s="5">
        <v>5300</v>
      </c>
      <c r="H485" s="8">
        <f t="shared" si="28"/>
        <v>212000</v>
      </c>
      <c r="I485" s="8">
        <f t="shared" si="29"/>
        <v>21200</v>
      </c>
      <c r="J485" s="8">
        <f t="shared" si="30"/>
        <v>233200</v>
      </c>
      <c r="K485" s="8" t="str">
        <f t="shared" si="31"/>
        <v/>
      </c>
    </row>
    <row r="486" spans="2:11" hidden="1">
      <c r="B486" s="7">
        <v>41432</v>
      </c>
      <c r="C486" s="3" t="s">
        <v>36</v>
      </c>
      <c r="D486" s="6" t="s">
        <v>24</v>
      </c>
      <c r="E486" s="3" t="s">
        <v>12</v>
      </c>
      <c r="F486" s="5">
        <v>9</v>
      </c>
      <c r="G486" s="5">
        <v>6570</v>
      </c>
      <c r="H486" s="8">
        <f t="shared" si="28"/>
        <v>59130</v>
      </c>
      <c r="I486" s="8">
        <f t="shared" si="29"/>
        <v>5910</v>
      </c>
      <c r="J486" s="8" t="str">
        <f t="shared" si="30"/>
        <v/>
      </c>
      <c r="K486" s="8">
        <f t="shared" si="31"/>
        <v>65040</v>
      </c>
    </row>
    <row r="487" spans="2:11" hidden="1">
      <c r="B487" s="7">
        <v>41432</v>
      </c>
      <c r="C487" s="3" t="s">
        <v>42</v>
      </c>
      <c r="D487" s="6" t="s">
        <v>21</v>
      </c>
      <c r="E487" s="3" t="s">
        <v>12</v>
      </c>
      <c r="F487" s="5">
        <v>13</v>
      </c>
      <c r="G487" s="5">
        <v>7320</v>
      </c>
      <c r="H487" s="8">
        <f t="shared" si="28"/>
        <v>95160</v>
      </c>
      <c r="I487" s="8">
        <f t="shared" si="29"/>
        <v>9510</v>
      </c>
      <c r="J487" s="8" t="str">
        <f t="shared" si="30"/>
        <v/>
      </c>
      <c r="K487" s="8">
        <f t="shared" si="31"/>
        <v>104670</v>
      </c>
    </row>
    <row r="488" spans="2:11" hidden="1">
      <c r="B488" s="7">
        <v>41432</v>
      </c>
      <c r="C488" s="3" t="s">
        <v>40</v>
      </c>
      <c r="D488" s="6" t="s">
        <v>19</v>
      </c>
      <c r="E488" s="3" t="s">
        <v>1</v>
      </c>
      <c r="F488" s="5">
        <v>45</v>
      </c>
      <c r="G488" s="5">
        <v>9710</v>
      </c>
      <c r="H488" s="8">
        <f t="shared" si="28"/>
        <v>436950</v>
      </c>
      <c r="I488" s="8">
        <f t="shared" si="29"/>
        <v>43690</v>
      </c>
      <c r="J488" s="8">
        <f t="shared" si="30"/>
        <v>480640</v>
      </c>
      <c r="K488" s="8" t="str">
        <f t="shared" si="31"/>
        <v/>
      </c>
    </row>
    <row r="489" spans="2:11" hidden="1">
      <c r="B489" s="7">
        <v>41432</v>
      </c>
      <c r="C489" s="3" t="s">
        <v>36</v>
      </c>
      <c r="D489" s="6" t="s">
        <v>11</v>
      </c>
      <c r="E489" s="3" t="s">
        <v>0</v>
      </c>
      <c r="F489" s="5">
        <v>33</v>
      </c>
      <c r="G489" s="5">
        <v>3060</v>
      </c>
      <c r="H489" s="8">
        <f t="shared" si="28"/>
        <v>100980</v>
      </c>
      <c r="I489" s="8">
        <f t="shared" si="29"/>
        <v>10090</v>
      </c>
      <c r="J489" s="8">
        <f t="shared" si="30"/>
        <v>111070</v>
      </c>
      <c r="K489" s="8" t="str">
        <f t="shared" si="31"/>
        <v/>
      </c>
    </row>
    <row r="490" spans="2:11" hidden="1">
      <c r="B490" s="7">
        <v>41433</v>
      </c>
      <c r="C490" s="3" t="s">
        <v>42</v>
      </c>
      <c r="D490" s="6" t="s">
        <v>18</v>
      </c>
      <c r="E490" s="3" t="s">
        <v>12</v>
      </c>
      <c r="F490" s="5">
        <v>24</v>
      </c>
      <c r="G490" s="5">
        <v>9320</v>
      </c>
      <c r="H490" s="8">
        <f t="shared" si="28"/>
        <v>223680</v>
      </c>
      <c r="I490" s="8">
        <f t="shared" si="29"/>
        <v>22360</v>
      </c>
      <c r="J490" s="8" t="str">
        <f t="shared" si="30"/>
        <v/>
      </c>
      <c r="K490" s="8">
        <f t="shared" si="31"/>
        <v>246040</v>
      </c>
    </row>
    <row r="491" spans="2:11" hidden="1">
      <c r="B491" s="7">
        <v>41433</v>
      </c>
      <c r="C491" s="3" t="s">
        <v>37</v>
      </c>
      <c r="D491" s="6" t="s">
        <v>15</v>
      </c>
      <c r="E491" s="3" t="s">
        <v>0</v>
      </c>
      <c r="F491" s="5">
        <v>34</v>
      </c>
      <c r="G491" s="5">
        <v>2180</v>
      </c>
      <c r="H491" s="8">
        <f t="shared" si="28"/>
        <v>74120</v>
      </c>
      <c r="I491" s="8">
        <f t="shared" si="29"/>
        <v>7410</v>
      </c>
      <c r="J491" s="8">
        <f t="shared" si="30"/>
        <v>81530</v>
      </c>
      <c r="K491" s="8" t="str">
        <f t="shared" si="31"/>
        <v/>
      </c>
    </row>
    <row r="492" spans="2:11" hidden="1">
      <c r="B492" s="7">
        <v>41434</v>
      </c>
      <c r="C492" s="3" t="s">
        <v>40</v>
      </c>
      <c r="D492" s="6" t="s">
        <v>14</v>
      </c>
      <c r="E492" s="3" t="s">
        <v>12</v>
      </c>
      <c r="F492" s="5">
        <v>16</v>
      </c>
      <c r="G492" s="5">
        <v>4940</v>
      </c>
      <c r="H492" s="8">
        <f t="shared" si="28"/>
        <v>79040</v>
      </c>
      <c r="I492" s="8">
        <f t="shared" si="29"/>
        <v>7900</v>
      </c>
      <c r="J492" s="8" t="str">
        <f t="shared" si="30"/>
        <v/>
      </c>
      <c r="K492" s="8">
        <f t="shared" si="31"/>
        <v>86940</v>
      </c>
    </row>
    <row r="493" spans="2:11" hidden="1">
      <c r="B493" s="7">
        <v>41434</v>
      </c>
      <c r="C493" s="3" t="s">
        <v>36</v>
      </c>
      <c r="D493" s="6" t="s">
        <v>14</v>
      </c>
      <c r="E493" s="3" t="s">
        <v>12</v>
      </c>
      <c r="F493" s="5">
        <v>30</v>
      </c>
      <c r="G493" s="5">
        <v>5420</v>
      </c>
      <c r="H493" s="8">
        <f t="shared" si="28"/>
        <v>162600</v>
      </c>
      <c r="I493" s="8">
        <f t="shared" si="29"/>
        <v>16260</v>
      </c>
      <c r="J493" s="8" t="str">
        <f t="shared" si="30"/>
        <v/>
      </c>
      <c r="K493" s="8">
        <f t="shared" si="31"/>
        <v>178860</v>
      </c>
    </row>
    <row r="494" spans="2:11" hidden="1">
      <c r="B494" s="7">
        <v>41434</v>
      </c>
      <c r="C494" s="3" t="s">
        <v>44</v>
      </c>
      <c r="D494" s="6" t="s">
        <v>11</v>
      </c>
      <c r="E494" s="3" t="s">
        <v>12</v>
      </c>
      <c r="F494" s="5">
        <v>11</v>
      </c>
      <c r="G494" s="5">
        <v>6190</v>
      </c>
      <c r="H494" s="8">
        <f t="shared" si="28"/>
        <v>68090</v>
      </c>
      <c r="I494" s="8">
        <f t="shared" si="29"/>
        <v>6800</v>
      </c>
      <c r="J494" s="8" t="str">
        <f t="shared" si="30"/>
        <v/>
      </c>
      <c r="K494" s="8">
        <f t="shared" si="31"/>
        <v>74890</v>
      </c>
    </row>
    <row r="495" spans="2:11" hidden="1">
      <c r="B495" s="7">
        <v>41434</v>
      </c>
      <c r="C495" s="3" t="s">
        <v>45</v>
      </c>
      <c r="D495" s="6" t="s">
        <v>24</v>
      </c>
      <c r="E495" s="3" t="s">
        <v>1</v>
      </c>
      <c r="F495" s="5">
        <v>29</v>
      </c>
      <c r="G495" s="5">
        <v>9960</v>
      </c>
      <c r="H495" s="8">
        <f t="shared" si="28"/>
        <v>288840</v>
      </c>
      <c r="I495" s="8">
        <f t="shared" si="29"/>
        <v>28880</v>
      </c>
      <c r="J495" s="8">
        <f t="shared" si="30"/>
        <v>317720</v>
      </c>
      <c r="K495" s="8" t="str">
        <f t="shared" si="31"/>
        <v/>
      </c>
    </row>
    <row r="496" spans="2:11" hidden="1">
      <c r="B496" s="7">
        <v>41434</v>
      </c>
      <c r="C496" s="3" t="s">
        <v>36</v>
      </c>
      <c r="D496" s="6" t="s">
        <v>19</v>
      </c>
      <c r="E496" s="3" t="s">
        <v>12</v>
      </c>
      <c r="F496" s="5">
        <v>8</v>
      </c>
      <c r="G496" s="5">
        <v>10080</v>
      </c>
      <c r="H496" s="8">
        <f t="shared" si="28"/>
        <v>80640</v>
      </c>
      <c r="I496" s="8">
        <f t="shared" si="29"/>
        <v>8060</v>
      </c>
      <c r="J496" s="8" t="str">
        <f t="shared" si="30"/>
        <v/>
      </c>
      <c r="K496" s="8">
        <f t="shared" si="31"/>
        <v>88700</v>
      </c>
    </row>
    <row r="497" spans="2:11" hidden="1">
      <c r="B497" s="7">
        <v>41434</v>
      </c>
      <c r="C497" s="3" t="s">
        <v>37</v>
      </c>
      <c r="D497" s="6" t="s">
        <v>16</v>
      </c>
      <c r="E497" s="3" t="s">
        <v>12</v>
      </c>
      <c r="F497" s="5">
        <v>7</v>
      </c>
      <c r="G497" s="5">
        <v>10410</v>
      </c>
      <c r="H497" s="8">
        <f t="shared" si="28"/>
        <v>72870</v>
      </c>
      <c r="I497" s="8">
        <f t="shared" si="29"/>
        <v>7280</v>
      </c>
      <c r="J497" s="8" t="str">
        <f t="shared" si="30"/>
        <v/>
      </c>
      <c r="K497" s="8">
        <f t="shared" si="31"/>
        <v>80150</v>
      </c>
    </row>
    <row r="498" spans="2:11" hidden="1">
      <c r="B498" s="7">
        <v>41434</v>
      </c>
      <c r="C498" s="3" t="s">
        <v>39</v>
      </c>
      <c r="D498" s="6" t="s">
        <v>17</v>
      </c>
      <c r="E498" s="3" t="s">
        <v>12</v>
      </c>
      <c r="F498" s="5">
        <v>23</v>
      </c>
      <c r="G498" s="5">
        <v>16260</v>
      </c>
      <c r="H498" s="8">
        <f t="shared" si="28"/>
        <v>373980</v>
      </c>
      <c r="I498" s="8">
        <f t="shared" si="29"/>
        <v>37390</v>
      </c>
      <c r="J498" s="8" t="str">
        <f t="shared" si="30"/>
        <v/>
      </c>
      <c r="K498" s="8">
        <f t="shared" si="31"/>
        <v>411370</v>
      </c>
    </row>
    <row r="499" spans="2:11" hidden="1">
      <c r="B499" s="7">
        <v>41434</v>
      </c>
      <c r="C499" s="3" t="s">
        <v>45</v>
      </c>
      <c r="D499" s="6" t="s">
        <v>14</v>
      </c>
      <c r="E499" s="3" t="s">
        <v>0</v>
      </c>
      <c r="F499" s="5">
        <v>41</v>
      </c>
      <c r="G499" s="5">
        <v>3000</v>
      </c>
      <c r="H499" s="8">
        <f t="shared" si="28"/>
        <v>123000</v>
      </c>
      <c r="I499" s="8">
        <f t="shared" si="29"/>
        <v>12300</v>
      </c>
      <c r="J499" s="8">
        <f t="shared" si="30"/>
        <v>135300</v>
      </c>
      <c r="K499" s="8" t="str">
        <f t="shared" si="31"/>
        <v/>
      </c>
    </row>
    <row r="500" spans="2:11" hidden="1">
      <c r="B500" s="7">
        <v>41434</v>
      </c>
      <c r="C500" s="3" t="s">
        <v>39</v>
      </c>
      <c r="D500" s="6" t="s">
        <v>20</v>
      </c>
      <c r="E500" s="3" t="s">
        <v>0</v>
      </c>
      <c r="F500" s="5">
        <v>48</v>
      </c>
      <c r="G500" s="5">
        <v>2220</v>
      </c>
      <c r="H500" s="8">
        <f t="shared" si="28"/>
        <v>106560</v>
      </c>
      <c r="I500" s="8">
        <f t="shared" si="29"/>
        <v>10650</v>
      </c>
      <c r="J500" s="8">
        <f t="shared" si="30"/>
        <v>117210</v>
      </c>
      <c r="K500" s="8" t="str">
        <f t="shared" si="31"/>
        <v/>
      </c>
    </row>
    <row r="501" spans="2:11" hidden="1">
      <c r="B501" s="7">
        <v>41435</v>
      </c>
      <c r="C501" s="3" t="s">
        <v>40</v>
      </c>
      <c r="D501" s="6" t="s">
        <v>23</v>
      </c>
      <c r="E501" s="3" t="s">
        <v>1</v>
      </c>
      <c r="F501" s="5">
        <v>45</v>
      </c>
      <c r="G501" s="5">
        <v>8580</v>
      </c>
      <c r="H501" s="8">
        <f t="shared" si="28"/>
        <v>386100</v>
      </c>
      <c r="I501" s="8">
        <f t="shared" si="29"/>
        <v>38610</v>
      </c>
      <c r="J501" s="8">
        <f t="shared" si="30"/>
        <v>424710</v>
      </c>
      <c r="K501" s="8" t="str">
        <f t="shared" si="31"/>
        <v/>
      </c>
    </row>
    <row r="502" spans="2:11" hidden="1">
      <c r="B502" s="7">
        <v>41435</v>
      </c>
      <c r="C502" s="3" t="s">
        <v>36</v>
      </c>
      <c r="D502" s="6" t="s">
        <v>20</v>
      </c>
      <c r="E502" s="3" t="s">
        <v>12</v>
      </c>
      <c r="F502" s="5">
        <v>33</v>
      </c>
      <c r="G502" s="5">
        <v>10800</v>
      </c>
      <c r="H502" s="8">
        <f t="shared" si="28"/>
        <v>356400</v>
      </c>
      <c r="I502" s="8">
        <f t="shared" si="29"/>
        <v>35640</v>
      </c>
      <c r="J502" s="8" t="str">
        <f t="shared" si="30"/>
        <v/>
      </c>
      <c r="K502" s="8">
        <f t="shared" si="31"/>
        <v>392040</v>
      </c>
    </row>
    <row r="503" spans="2:11" hidden="1">
      <c r="B503" s="7">
        <v>41435</v>
      </c>
      <c r="C503" s="3" t="s">
        <v>37</v>
      </c>
      <c r="D503" s="6" t="s">
        <v>23</v>
      </c>
      <c r="E503" s="3" t="s">
        <v>0</v>
      </c>
      <c r="F503" s="5">
        <v>40</v>
      </c>
      <c r="G503" s="5">
        <v>2770</v>
      </c>
      <c r="H503" s="8">
        <f t="shared" si="28"/>
        <v>110800</v>
      </c>
      <c r="I503" s="8">
        <f t="shared" si="29"/>
        <v>11080</v>
      </c>
      <c r="J503" s="8">
        <f t="shared" si="30"/>
        <v>121880</v>
      </c>
      <c r="K503" s="8" t="str">
        <f t="shared" si="31"/>
        <v/>
      </c>
    </row>
    <row r="504" spans="2:11" hidden="1">
      <c r="B504" s="7">
        <v>41436</v>
      </c>
      <c r="C504" s="3" t="s">
        <v>45</v>
      </c>
      <c r="D504" s="6" t="s">
        <v>14</v>
      </c>
      <c r="E504" s="3" t="s">
        <v>12</v>
      </c>
      <c r="F504" s="5">
        <v>30</v>
      </c>
      <c r="G504" s="5">
        <v>4350</v>
      </c>
      <c r="H504" s="8">
        <f t="shared" si="28"/>
        <v>130500</v>
      </c>
      <c r="I504" s="8">
        <f t="shared" si="29"/>
        <v>13050</v>
      </c>
      <c r="J504" s="8" t="str">
        <f t="shared" si="30"/>
        <v/>
      </c>
      <c r="K504" s="8">
        <f t="shared" si="31"/>
        <v>143550</v>
      </c>
    </row>
    <row r="505" spans="2:11" hidden="1">
      <c r="B505" s="7">
        <v>41436</v>
      </c>
      <c r="C505" s="3" t="s">
        <v>43</v>
      </c>
      <c r="D505" s="6" t="s">
        <v>17</v>
      </c>
      <c r="E505" s="3" t="s">
        <v>12</v>
      </c>
      <c r="F505" s="5">
        <v>47</v>
      </c>
      <c r="G505" s="5">
        <v>21650</v>
      </c>
      <c r="H505" s="8">
        <f t="shared" si="28"/>
        <v>1017550</v>
      </c>
      <c r="I505" s="8">
        <f t="shared" si="29"/>
        <v>101750</v>
      </c>
      <c r="J505" s="8" t="str">
        <f t="shared" si="30"/>
        <v/>
      </c>
      <c r="K505" s="8">
        <f t="shared" si="31"/>
        <v>1119300</v>
      </c>
    </row>
    <row r="506" spans="2:11" hidden="1">
      <c r="B506" s="7">
        <v>41437</v>
      </c>
      <c r="C506" s="3" t="s">
        <v>43</v>
      </c>
      <c r="D506" s="6" t="s">
        <v>22</v>
      </c>
      <c r="E506" s="3" t="s">
        <v>0</v>
      </c>
      <c r="F506" s="5">
        <v>42</v>
      </c>
      <c r="G506" s="5">
        <v>2060</v>
      </c>
      <c r="H506" s="8">
        <f t="shared" si="28"/>
        <v>86520</v>
      </c>
      <c r="I506" s="8">
        <f t="shared" si="29"/>
        <v>8650</v>
      </c>
      <c r="J506" s="8">
        <f t="shared" si="30"/>
        <v>95170</v>
      </c>
      <c r="K506" s="8" t="str">
        <f t="shared" si="31"/>
        <v/>
      </c>
    </row>
    <row r="507" spans="2:11" hidden="1">
      <c r="B507" s="7">
        <v>41437</v>
      </c>
      <c r="C507" s="3" t="s">
        <v>42</v>
      </c>
      <c r="D507" s="6" t="s">
        <v>25</v>
      </c>
      <c r="E507" s="3" t="s">
        <v>0</v>
      </c>
      <c r="F507" s="5">
        <v>7</v>
      </c>
      <c r="G507" s="5">
        <v>5210</v>
      </c>
      <c r="H507" s="8">
        <f t="shared" si="28"/>
        <v>36470</v>
      </c>
      <c r="I507" s="8">
        <f t="shared" si="29"/>
        <v>3640</v>
      </c>
      <c r="J507" s="8">
        <f t="shared" si="30"/>
        <v>40110</v>
      </c>
      <c r="K507" s="8" t="str">
        <f t="shared" si="31"/>
        <v/>
      </c>
    </row>
    <row r="508" spans="2:11" hidden="1">
      <c r="B508" s="7">
        <v>41437</v>
      </c>
      <c r="C508" s="3" t="s">
        <v>39</v>
      </c>
      <c r="D508" s="6" t="s">
        <v>13</v>
      </c>
      <c r="E508" s="3" t="s">
        <v>0</v>
      </c>
      <c r="F508" s="5">
        <v>44</v>
      </c>
      <c r="G508" s="5">
        <v>5440</v>
      </c>
      <c r="H508" s="8">
        <f t="shared" si="28"/>
        <v>239360</v>
      </c>
      <c r="I508" s="8">
        <f t="shared" si="29"/>
        <v>23930</v>
      </c>
      <c r="J508" s="8">
        <f t="shared" si="30"/>
        <v>263290</v>
      </c>
      <c r="K508" s="8" t="str">
        <f t="shared" si="31"/>
        <v/>
      </c>
    </row>
    <row r="509" spans="2:11" hidden="1">
      <c r="B509" s="7">
        <v>41437</v>
      </c>
      <c r="C509" s="3" t="s">
        <v>38</v>
      </c>
      <c r="D509" s="6" t="s">
        <v>20</v>
      </c>
      <c r="E509" s="3" t="s">
        <v>0</v>
      </c>
      <c r="F509" s="5">
        <v>21</v>
      </c>
      <c r="G509" s="5">
        <v>5710</v>
      </c>
      <c r="H509" s="8">
        <f t="shared" si="28"/>
        <v>119910</v>
      </c>
      <c r="I509" s="8">
        <f t="shared" si="29"/>
        <v>11990</v>
      </c>
      <c r="J509" s="8">
        <f t="shared" si="30"/>
        <v>131900</v>
      </c>
      <c r="K509" s="8" t="str">
        <f t="shared" si="31"/>
        <v/>
      </c>
    </row>
    <row r="510" spans="2:11" hidden="1">
      <c r="B510" s="7">
        <v>41438</v>
      </c>
      <c r="C510" s="3" t="s">
        <v>38</v>
      </c>
      <c r="D510" s="6" t="s">
        <v>29</v>
      </c>
      <c r="E510" s="3" t="s">
        <v>1</v>
      </c>
      <c r="F510" s="5">
        <v>37</v>
      </c>
      <c r="G510" s="5">
        <v>8700</v>
      </c>
      <c r="H510" s="8">
        <f t="shared" si="28"/>
        <v>321900</v>
      </c>
      <c r="I510" s="8">
        <f t="shared" si="29"/>
        <v>32190</v>
      </c>
      <c r="J510" s="8">
        <f t="shared" si="30"/>
        <v>354090</v>
      </c>
      <c r="K510" s="8" t="str">
        <f t="shared" si="31"/>
        <v/>
      </c>
    </row>
    <row r="511" spans="2:11" hidden="1">
      <c r="B511" s="7">
        <v>41439</v>
      </c>
      <c r="C511" s="3" t="s">
        <v>39</v>
      </c>
      <c r="D511" s="6" t="s">
        <v>16</v>
      </c>
      <c r="E511" s="3" t="s">
        <v>1</v>
      </c>
      <c r="F511" s="5">
        <v>30</v>
      </c>
      <c r="G511" s="5">
        <v>12340</v>
      </c>
      <c r="H511" s="8">
        <f t="shared" si="28"/>
        <v>370200</v>
      </c>
      <c r="I511" s="8">
        <f t="shared" si="29"/>
        <v>37020</v>
      </c>
      <c r="J511" s="8">
        <f t="shared" si="30"/>
        <v>407220</v>
      </c>
      <c r="K511" s="8" t="str">
        <f t="shared" si="31"/>
        <v/>
      </c>
    </row>
    <row r="512" spans="2:11" hidden="1">
      <c r="B512" s="7">
        <v>41439</v>
      </c>
      <c r="C512" s="3" t="s">
        <v>36</v>
      </c>
      <c r="D512" s="6" t="s">
        <v>14</v>
      </c>
      <c r="E512" s="3" t="s">
        <v>0</v>
      </c>
      <c r="F512" s="5">
        <v>22</v>
      </c>
      <c r="G512" s="5">
        <v>2220</v>
      </c>
      <c r="H512" s="8">
        <f t="shared" si="28"/>
        <v>48840</v>
      </c>
      <c r="I512" s="8">
        <f t="shared" si="29"/>
        <v>4880</v>
      </c>
      <c r="J512" s="8">
        <f t="shared" si="30"/>
        <v>53720</v>
      </c>
      <c r="K512" s="8" t="str">
        <f t="shared" si="31"/>
        <v/>
      </c>
    </row>
    <row r="513" spans="2:11" hidden="1">
      <c r="B513" s="7">
        <v>41440</v>
      </c>
      <c r="C513" s="3" t="s">
        <v>37</v>
      </c>
      <c r="D513" s="6" t="s">
        <v>24</v>
      </c>
      <c r="E513" s="3" t="s">
        <v>12</v>
      </c>
      <c r="F513" s="5">
        <v>18</v>
      </c>
      <c r="G513" s="5">
        <v>6820</v>
      </c>
      <c r="H513" s="8">
        <f t="shared" si="28"/>
        <v>122760</v>
      </c>
      <c r="I513" s="8">
        <f t="shared" si="29"/>
        <v>12270</v>
      </c>
      <c r="J513" s="8" t="str">
        <f t="shared" si="30"/>
        <v/>
      </c>
      <c r="K513" s="8">
        <f t="shared" si="31"/>
        <v>135030</v>
      </c>
    </row>
    <row r="514" spans="2:11" hidden="1">
      <c r="B514" s="7">
        <v>41440</v>
      </c>
      <c r="C514" s="3" t="s">
        <v>37</v>
      </c>
      <c r="D514" s="6" t="s">
        <v>26</v>
      </c>
      <c r="E514" s="3" t="s">
        <v>12</v>
      </c>
      <c r="F514" s="5">
        <v>26</v>
      </c>
      <c r="G514" s="5">
        <v>8080</v>
      </c>
      <c r="H514" s="8">
        <f t="shared" si="28"/>
        <v>210080</v>
      </c>
      <c r="I514" s="8">
        <f t="shared" si="29"/>
        <v>21000</v>
      </c>
      <c r="J514" s="8" t="str">
        <f t="shared" si="30"/>
        <v/>
      </c>
      <c r="K514" s="8">
        <f t="shared" si="31"/>
        <v>231080</v>
      </c>
    </row>
    <row r="515" spans="2:11" hidden="1">
      <c r="B515" s="7">
        <v>41440</v>
      </c>
      <c r="C515" s="3" t="s">
        <v>39</v>
      </c>
      <c r="D515" s="6" t="s">
        <v>13</v>
      </c>
      <c r="E515" s="3" t="s">
        <v>12</v>
      </c>
      <c r="F515" s="5">
        <v>22</v>
      </c>
      <c r="G515" s="5">
        <v>11070</v>
      </c>
      <c r="H515" s="8">
        <f t="shared" si="28"/>
        <v>243540</v>
      </c>
      <c r="I515" s="8">
        <f t="shared" si="29"/>
        <v>24350</v>
      </c>
      <c r="J515" s="8" t="str">
        <f t="shared" si="30"/>
        <v/>
      </c>
      <c r="K515" s="8">
        <f t="shared" si="31"/>
        <v>267890</v>
      </c>
    </row>
    <row r="516" spans="2:11" hidden="1">
      <c r="B516" s="7">
        <v>41440</v>
      </c>
      <c r="C516" s="3" t="s">
        <v>43</v>
      </c>
      <c r="D516" s="6" t="s">
        <v>24</v>
      </c>
      <c r="E516" s="3" t="s">
        <v>0</v>
      </c>
      <c r="F516" s="5">
        <v>43</v>
      </c>
      <c r="G516" s="5">
        <v>1550</v>
      </c>
      <c r="H516" s="8">
        <f t="shared" si="28"/>
        <v>66650</v>
      </c>
      <c r="I516" s="8">
        <f t="shared" si="29"/>
        <v>6660</v>
      </c>
      <c r="J516" s="8">
        <f t="shared" si="30"/>
        <v>73310</v>
      </c>
      <c r="K516" s="8" t="str">
        <f t="shared" si="31"/>
        <v/>
      </c>
    </row>
    <row r="517" spans="2:11" hidden="1">
      <c r="B517" s="7">
        <v>41440</v>
      </c>
      <c r="C517" s="3" t="s">
        <v>36</v>
      </c>
      <c r="D517" s="6" t="s">
        <v>23</v>
      </c>
      <c r="E517" s="3" t="s">
        <v>0</v>
      </c>
      <c r="F517" s="5">
        <v>20</v>
      </c>
      <c r="G517" s="5">
        <v>2560</v>
      </c>
      <c r="H517" s="8">
        <f t="shared" si="28"/>
        <v>51200</v>
      </c>
      <c r="I517" s="8">
        <f t="shared" si="29"/>
        <v>5120</v>
      </c>
      <c r="J517" s="8">
        <f t="shared" si="30"/>
        <v>56320</v>
      </c>
      <c r="K517" s="8" t="str">
        <f t="shared" si="31"/>
        <v/>
      </c>
    </row>
    <row r="518" spans="2:11" hidden="1">
      <c r="B518" s="7">
        <v>41441</v>
      </c>
      <c r="C518" s="3" t="s">
        <v>45</v>
      </c>
      <c r="D518" s="6" t="s">
        <v>13</v>
      </c>
      <c r="E518" s="3" t="s">
        <v>12</v>
      </c>
      <c r="F518" s="5">
        <v>39</v>
      </c>
      <c r="G518" s="5">
        <v>6510</v>
      </c>
      <c r="H518" s="8">
        <f t="shared" si="28"/>
        <v>253890</v>
      </c>
      <c r="I518" s="8">
        <f t="shared" si="29"/>
        <v>25380</v>
      </c>
      <c r="J518" s="8" t="str">
        <f t="shared" si="30"/>
        <v/>
      </c>
      <c r="K518" s="8">
        <f t="shared" si="31"/>
        <v>279270</v>
      </c>
    </row>
    <row r="519" spans="2:11" hidden="1">
      <c r="B519" s="7">
        <v>41441</v>
      </c>
      <c r="C519" s="3" t="s">
        <v>40</v>
      </c>
      <c r="D519" s="6" t="s">
        <v>25</v>
      </c>
      <c r="E519" s="3" t="s">
        <v>12</v>
      </c>
      <c r="F519" s="5">
        <v>33</v>
      </c>
      <c r="G519" s="5">
        <v>12190</v>
      </c>
      <c r="H519" s="8">
        <f t="shared" si="28"/>
        <v>402270</v>
      </c>
      <c r="I519" s="8">
        <f t="shared" si="29"/>
        <v>40220</v>
      </c>
      <c r="J519" s="8" t="str">
        <f t="shared" si="30"/>
        <v/>
      </c>
      <c r="K519" s="8">
        <f t="shared" si="31"/>
        <v>442490</v>
      </c>
    </row>
    <row r="520" spans="2:11" hidden="1">
      <c r="B520" s="7">
        <v>41441</v>
      </c>
      <c r="C520" s="3" t="s">
        <v>45</v>
      </c>
      <c r="D520" s="6" t="s">
        <v>17</v>
      </c>
      <c r="E520" s="3" t="s">
        <v>1</v>
      </c>
      <c r="F520" s="5">
        <v>34</v>
      </c>
      <c r="G520" s="5">
        <v>17670</v>
      </c>
      <c r="H520" s="8">
        <f t="shared" si="28"/>
        <v>600780</v>
      </c>
      <c r="I520" s="8">
        <f t="shared" si="29"/>
        <v>60070</v>
      </c>
      <c r="J520" s="8">
        <f t="shared" si="30"/>
        <v>660850</v>
      </c>
      <c r="K520" s="8" t="str">
        <f t="shared" si="31"/>
        <v/>
      </c>
    </row>
    <row r="521" spans="2:11" hidden="1">
      <c r="B521" s="7">
        <v>41441</v>
      </c>
      <c r="C521" s="3" t="s">
        <v>41</v>
      </c>
      <c r="D521" s="6" t="s">
        <v>14</v>
      </c>
      <c r="E521" s="3" t="s">
        <v>0</v>
      </c>
      <c r="F521" s="5">
        <v>37</v>
      </c>
      <c r="G521" s="5">
        <v>2220</v>
      </c>
      <c r="H521" s="8">
        <f t="shared" si="28"/>
        <v>82140</v>
      </c>
      <c r="I521" s="8">
        <f t="shared" si="29"/>
        <v>8210</v>
      </c>
      <c r="J521" s="8">
        <f t="shared" si="30"/>
        <v>90350</v>
      </c>
      <c r="K521" s="8" t="str">
        <f t="shared" si="31"/>
        <v/>
      </c>
    </row>
    <row r="522" spans="2:11" hidden="1">
      <c r="B522" s="7">
        <v>41442</v>
      </c>
      <c r="C522" s="3" t="s">
        <v>41</v>
      </c>
      <c r="D522" s="6" t="s">
        <v>29</v>
      </c>
      <c r="E522" s="3" t="s">
        <v>12</v>
      </c>
      <c r="F522" s="5">
        <v>13</v>
      </c>
      <c r="G522" s="5">
        <v>5690</v>
      </c>
      <c r="H522" s="8">
        <f t="shared" si="28"/>
        <v>73970</v>
      </c>
      <c r="I522" s="8">
        <f t="shared" si="29"/>
        <v>7390</v>
      </c>
      <c r="J522" s="8" t="str">
        <f t="shared" si="30"/>
        <v/>
      </c>
      <c r="K522" s="8">
        <f t="shared" si="31"/>
        <v>81360</v>
      </c>
    </row>
    <row r="523" spans="2:11" hidden="1">
      <c r="B523" s="7">
        <v>41442</v>
      </c>
      <c r="C523" s="3" t="s">
        <v>43</v>
      </c>
      <c r="D523" s="6" t="s">
        <v>22</v>
      </c>
      <c r="E523" s="3" t="s">
        <v>12</v>
      </c>
      <c r="F523" s="5">
        <v>22</v>
      </c>
      <c r="G523" s="5">
        <v>7070</v>
      </c>
      <c r="H523" s="8">
        <f t="shared" si="28"/>
        <v>155540</v>
      </c>
      <c r="I523" s="8">
        <f t="shared" si="29"/>
        <v>15550</v>
      </c>
      <c r="J523" s="8" t="str">
        <f t="shared" si="30"/>
        <v/>
      </c>
      <c r="K523" s="8">
        <f t="shared" si="31"/>
        <v>171090</v>
      </c>
    </row>
    <row r="524" spans="2:11" hidden="1">
      <c r="B524" s="7">
        <v>41442</v>
      </c>
      <c r="C524" s="3" t="s">
        <v>38</v>
      </c>
      <c r="D524" s="6" t="s">
        <v>19</v>
      </c>
      <c r="E524" s="3" t="s">
        <v>12</v>
      </c>
      <c r="F524" s="5">
        <v>20</v>
      </c>
      <c r="G524" s="5">
        <v>7450</v>
      </c>
      <c r="H524" s="8">
        <f t="shared" si="28"/>
        <v>149000</v>
      </c>
      <c r="I524" s="8">
        <f t="shared" si="29"/>
        <v>14900</v>
      </c>
      <c r="J524" s="8" t="str">
        <f t="shared" si="30"/>
        <v/>
      </c>
      <c r="K524" s="8">
        <f t="shared" si="31"/>
        <v>163900</v>
      </c>
    </row>
    <row r="525" spans="2:11" hidden="1">
      <c r="B525" s="7">
        <v>41442</v>
      </c>
      <c r="C525" s="3" t="s">
        <v>39</v>
      </c>
      <c r="D525" s="6" t="s">
        <v>26</v>
      </c>
      <c r="E525" s="3" t="s">
        <v>1</v>
      </c>
      <c r="F525" s="5">
        <v>45</v>
      </c>
      <c r="G525" s="5">
        <v>8450</v>
      </c>
      <c r="H525" s="8">
        <f t="shared" ref="H525:H588" si="32">F525*G525</f>
        <v>380250</v>
      </c>
      <c r="I525" s="8">
        <f t="shared" ref="I525:I588" si="33">TRUNC(H525*10%,-1)</f>
        <v>38020</v>
      </c>
      <c r="J525" s="8">
        <f t="shared" ref="J525:J588" si="34">IF(E525="매입",H525+I525,"")</f>
        <v>418270</v>
      </c>
      <c r="K525" s="8" t="str">
        <f t="shared" ref="K525:K588" si="35">IF(E525="매출",H525+I525,"")</f>
        <v/>
      </c>
    </row>
    <row r="526" spans="2:11" hidden="1">
      <c r="B526" s="7">
        <v>41442</v>
      </c>
      <c r="C526" s="3" t="s">
        <v>38</v>
      </c>
      <c r="D526" s="6" t="s">
        <v>22</v>
      </c>
      <c r="E526" s="3" t="s">
        <v>12</v>
      </c>
      <c r="F526" s="5">
        <v>15</v>
      </c>
      <c r="G526" s="5">
        <v>8830</v>
      </c>
      <c r="H526" s="8">
        <f t="shared" si="32"/>
        <v>132450</v>
      </c>
      <c r="I526" s="8">
        <f t="shared" si="33"/>
        <v>13240</v>
      </c>
      <c r="J526" s="8" t="str">
        <f t="shared" si="34"/>
        <v/>
      </c>
      <c r="K526" s="8">
        <f t="shared" si="35"/>
        <v>145690</v>
      </c>
    </row>
    <row r="527" spans="2:11" hidden="1">
      <c r="B527" s="7">
        <v>41442</v>
      </c>
      <c r="C527" s="3" t="s">
        <v>45</v>
      </c>
      <c r="D527" s="6" t="s">
        <v>27</v>
      </c>
      <c r="E527" s="3" t="s">
        <v>0</v>
      </c>
      <c r="F527" s="5">
        <v>27</v>
      </c>
      <c r="G527" s="5">
        <v>3900</v>
      </c>
      <c r="H527" s="8">
        <f t="shared" si="32"/>
        <v>105300</v>
      </c>
      <c r="I527" s="8">
        <f t="shared" si="33"/>
        <v>10530</v>
      </c>
      <c r="J527" s="8">
        <f t="shared" si="34"/>
        <v>115830</v>
      </c>
      <c r="K527" s="8" t="str">
        <f t="shared" si="35"/>
        <v/>
      </c>
    </row>
    <row r="528" spans="2:11" hidden="1">
      <c r="B528" s="7">
        <v>41443</v>
      </c>
      <c r="C528" s="3" t="s">
        <v>41</v>
      </c>
      <c r="D528" s="6" t="s">
        <v>16</v>
      </c>
      <c r="E528" s="3" t="s">
        <v>12</v>
      </c>
      <c r="F528" s="5">
        <v>30</v>
      </c>
      <c r="G528" s="5">
        <v>8630</v>
      </c>
      <c r="H528" s="8">
        <f t="shared" si="32"/>
        <v>258900</v>
      </c>
      <c r="I528" s="8">
        <f t="shared" si="33"/>
        <v>25890</v>
      </c>
      <c r="J528" s="8" t="str">
        <f t="shared" si="34"/>
        <v/>
      </c>
      <c r="K528" s="8">
        <f t="shared" si="35"/>
        <v>284790</v>
      </c>
    </row>
    <row r="529" spans="2:11" hidden="1">
      <c r="B529" s="7">
        <v>41444</v>
      </c>
      <c r="C529" s="3" t="s">
        <v>42</v>
      </c>
      <c r="D529" s="6" t="s">
        <v>22</v>
      </c>
      <c r="E529" s="3" t="s">
        <v>12</v>
      </c>
      <c r="F529" s="5">
        <v>9</v>
      </c>
      <c r="G529" s="5">
        <v>8580</v>
      </c>
      <c r="H529" s="8">
        <f t="shared" si="32"/>
        <v>77220</v>
      </c>
      <c r="I529" s="8">
        <f t="shared" si="33"/>
        <v>7720</v>
      </c>
      <c r="J529" s="8" t="str">
        <f t="shared" si="34"/>
        <v/>
      </c>
      <c r="K529" s="8">
        <f t="shared" si="35"/>
        <v>84940</v>
      </c>
    </row>
    <row r="530" spans="2:11" hidden="1">
      <c r="B530" s="7">
        <v>41444</v>
      </c>
      <c r="C530" s="3" t="s">
        <v>44</v>
      </c>
      <c r="D530" s="6" t="s">
        <v>28</v>
      </c>
      <c r="E530" s="3" t="s">
        <v>12</v>
      </c>
      <c r="F530" s="5">
        <v>5</v>
      </c>
      <c r="G530" s="5">
        <v>13090</v>
      </c>
      <c r="H530" s="8">
        <f t="shared" si="32"/>
        <v>65450</v>
      </c>
      <c r="I530" s="8">
        <f t="shared" si="33"/>
        <v>6540</v>
      </c>
      <c r="J530" s="8" t="str">
        <f t="shared" si="34"/>
        <v/>
      </c>
      <c r="K530" s="8">
        <f t="shared" si="35"/>
        <v>71990</v>
      </c>
    </row>
    <row r="531" spans="2:11" hidden="1">
      <c r="B531" s="7">
        <v>41444</v>
      </c>
      <c r="C531" s="3" t="s">
        <v>44</v>
      </c>
      <c r="D531" s="6" t="s">
        <v>14</v>
      </c>
      <c r="E531" s="3" t="s">
        <v>0</v>
      </c>
      <c r="F531" s="5">
        <v>36</v>
      </c>
      <c r="G531" s="5">
        <v>3680</v>
      </c>
      <c r="H531" s="8">
        <f t="shared" si="32"/>
        <v>132480</v>
      </c>
      <c r="I531" s="8">
        <f t="shared" si="33"/>
        <v>13240</v>
      </c>
      <c r="J531" s="8">
        <f t="shared" si="34"/>
        <v>145720</v>
      </c>
      <c r="K531" s="8" t="str">
        <f t="shared" si="35"/>
        <v/>
      </c>
    </row>
    <row r="532" spans="2:11" hidden="1">
      <c r="B532" s="7">
        <v>41445</v>
      </c>
      <c r="C532" s="3" t="s">
        <v>38</v>
      </c>
      <c r="D532" s="6" t="s">
        <v>23</v>
      </c>
      <c r="E532" s="3" t="s">
        <v>12</v>
      </c>
      <c r="F532" s="5">
        <v>45</v>
      </c>
      <c r="G532" s="5">
        <v>6320</v>
      </c>
      <c r="H532" s="8">
        <f t="shared" si="32"/>
        <v>284400</v>
      </c>
      <c r="I532" s="8">
        <f t="shared" si="33"/>
        <v>28440</v>
      </c>
      <c r="J532" s="8" t="str">
        <f t="shared" si="34"/>
        <v/>
      </c>
      <c r="K532" s="8">
        <f t="shared" si="35"/>
        <v>312840</v>
      </c>
    </row>
    <row r="533" spans="2:11" hidden="1">
      <c r="B533" s="7">
        <v>41445</v>
      </c>
      <c r="C533" s="3" t="s">
        <v>43</v>
      </c>
      <c r="D533" s="6" t="s">
        <v>17</v>
      </c>
      <c r="E533" s="3" t="s">
        <v>12</v>
      </c>
      <c r="F533" s="5">
        <v>13</v>
      </c>
      <c r="G533" s="5">
        <v>18610</v>
      </c>
      <c r="H533" s="8">
        <f t="shared" si="32"/>
        <v>241930</v>
      </c>
      <c r="I533" s="8">
        <f t="shared" si="33"/>
        <v>24190</v>
      </c>
      <c r="J533" s="8" t="str">
        <f t="shared" si="34"/>
        <v/>
      </c>
      <c r="K533" s="8">
        <f t="shared" si="35"/>
        <v>266120</v>
      </c>
    </row>
    <row r="534" spans="2:11" hidden="1">
      <c r="B534" s="7">
        <v>41446</v>
      </c>
      <c r="C534" s="3" t="s">
        <v>44</v>
      </c>
      <c r="D534" s="6" t="s">
        <v>29</v>
      </c>
      <c r="E534" s="3" t="s">
        <v>12</v>
      </c>
      <c r="F534" s="5">
        <v>25</v>
      </c>
      <c r="G534" s="5">
        <v>5820</v>
      </c>
      <c r="H534" s="8">
        <f t="shared" si="32"/>
        <v>145500</v>
      </c>
      <c r="I534" s="8">
        <f t="shared" si="33"/>
        <v>14550</v>
      </c>
      <c r="J534" s="8" t="str">
        <f t="shared" si="34"/>
        <v/>
      </c>
      <c r="K534" s="8">
        <f t="shared" si="35"/>
        <v>160050</v>
      </c>
    </row>
    <row r="535" spans="2:11" hidden="1">
      <c r="B535" s="7">
        <v>41446</v>
      </c>
      <c r="C535" s="3" t="s">
        <v>42</v>
      </c>
      <c r="D535" s="6" t="s">
        <v>25</v>
      </c>
      <c r="E535" s="3" t="s">
        <v>12</v>
      </c>
      <c r="F535" s="5">
        <v>29</v>
      </c>
      <c r="G535" s="5">
        <v>8040</v>
      </c>
      <c r="H535" s="8">
        <f t="shared" si="32"/>
        <v>233160</v>
      </c>
      <c r="I535" s="8">
        <f t="shared" si="33"/>
        <v>23310</v>
      </c>
      <c r="J535" s="8" t="str">
        <f t="shared" si="34"/>
        <v/>
      </c>
      <c r="K535" s="8">
        <f t="shared" si="35"/>
        <v>256470</v>
      </c>
    </row>
    <row r="536" spans="2:11" hidden="1">
      <c r="B536" s="7">
        <v>41446</v>
      </c>
      <c r="C536" s="3" t="s">
        <v>45</v>
      </c>
      <c r="D536" s="6" t="s">
        <v>29</v>
      </c>
      <c r="E536" s="3" t="s">
        <v>1</v>
      </c>
      <c r="F536" s="5">
        <v>50</v>
      </c>
      <c r="G536" s="5">
        <v>8450</v>
      </c>
      <c r="H536" s="8">
        <f t="shared" si="32"/>
        <v>422500</v>
      </c>
      <c r="I536" s="8">
        <f t="shared" si="33"/>
        <v>42250</v>
      </c>
      <c r="J536" s="8">
        <f t="shared" si="34"/>
        <v>464750</v>
      </c>
      <c r="K536" s="8" t="str">
        <f t="shared" si="35"/>
        <v/>
      </c>
    </row>
    <row r="537" spans="2:11" hidden="1">
      <c r="B537" s="7">
        <v>41446</v>
      </c>
      <c r="C537" s="3" t="s">
        <v>39</v>
      </c>
      <c r="D537" s="6" t="s">
        <v>27</v>
      </c>
      <c r="E537" s="3" t="s">
        <v>0</v>
      </c>
      <c r="F537" s="5">
        <v>44</v>
      </c>
      <c r="G537" s="5">
        <v>2900</v>
      </c>
      <c r="H537" s="8">
        <f t="shared" si="32"/>
        <v>127600</v>
      </c>
      <c r="I537" s="8">
        <f t="shared" si="33"/>
        <v>12760</v>
      </c>
      <c r="J537" s="8">
        <f t="shared" si="34"/>
        <v>140360</v>
      </c>
      <c r="K537" s="8" t="str">
        <f t="shared" si="35"/>
        <v/>
      </c>
    </row>
    <row r="538" spans="2:11" hidden="1">
      <c r="B538" s="7">
        <v>41447</v>
      </c>
      <c r="C538" s="3" t="s">
        <v>43</v>
      </c>
      <c r="D538" s="6" t="s">
        <v>24</v>
      </c>
      <c r="E538" s="3" t="s">
        <v>12</v>
      </c>
      <c r="F538" s="5">
        <v>29</v>
      </c>
      <c r="G538" s="5">
        <v>6190</v>
      </c>
      <c r="H538" s="8">
        <f t="shared" si="32"/>
        <v>179510</v>
      </c>
      <c r="I538" s="8">
        <f t="shared" si="33"/>
        <v>17950</v>
      </c>
      <c r="J538" s="8" t="str">
        <f t="shared" si="34"/>
        <v/>
      </c>
      <c r="K538" s="8">
        <f t="shared" si="35"/>
        <v>197460</v>
      </c>
    </row>
    <row r="539" spans="2:11" hidden="1">
      <c r="B539" s="7">
        <v>41447</v>
      </c>
      <c r="C539" s="3" t="s">
        <v>41</v>
      </c>
      <c r="D539" s="6" t="s">
        <v>13</v>
      </c>
      <c r="E539" s="3" t="s">
        <v>12</v>
      </c>
      <c r="F539" s="5">
        <v>12</v>
      </c>
      <c r="G539" s="5">
        <v>8390</v>
      </c>
      <c r="H539" s="8">
        <f t="shared" si="32"/>
        <v>100680</v>
      </c>
      <c r="I539" s="8">
        <f t="shared" si="33"/>
        <v>10060</v>
      </c>
      <c r="J539" s="8" t="str">
        <f t="shared" si="34"/>
        <v/>
      </c>
      <c r="K539" s="8">
        <f t="shared" si="35"/>
        <v>110740</v>
      </c>
    </row>
    <row r="540" spans="2:11" hidden="1">
      <c r="B540" s="7">
        <v>41447</v>
      </c>
      <c r="C540" s="3" t="s">
        <v>43</v>
      </c>
      <c r="D540" s="6" t="s">
        <v>20</v>
      </c>
      <c r="E540" s="3" t="s">
        <v>12</v>
      </c>
      <c r="F540" s="5">
        <v>37</v>
      </c>
      <c r="G540" s="5">
        <v>9460</v>
      </c>
      <c r="H540" s="8">
        <f t="shared" si="32"/>
        <v>350020</v>
      </c>
      <c r="I540" s="8">
        <f t="shared" si="33"/>
        <v>35000</v>
      </c>
      <c r="J540" s="8" t="str">
        <f t="shared" si="34"/>
        <v/>
      </c>
      <c r="K540" s="8">
        <f t="shared" si="35"/>
        <v>385020</v>
      </c>
    </row>
    <row r="541" spans="2:11" hidden="1">
      <c r="B541" s="7">
        <v>41447</v>
      </c>
      <c r="C541" s="3" t="s">
        <v>43</v>
      </c>
      <c r="D541" s="6" t="s">
        <v>20</v>
      </c>
      <c r="E541" s="3" t="s">
        <v>12</v>
      </c>
      <c r="F541" s="5">
        <v>27</v>
      </c>
      <c r="G541" s="5">
        <v>10660</v>
      </c>
      <c r="H541" s="8">
        <f t="shared" si="32"/>
        <v>287820</v>
      </c>
      <c r="I541" s="8">
        <f t="shared" si="33"/>
        <v>28780</v>
      </c>
      <c r="J541" s="8" t="str">
        <f t="shared" si="34"/>
        <v/>
      </c>
      <c r="K541" s="8">
        <f t="shared" si="35"/>
        <v>316600</v>
      </c>
    </row>
    <row r="542" spans="2:11" hidden="1">
      <c r="B542" s="7">
        <v>41447</v>
      </c>
      <c r="C542" s="3" t="s">
        <v>37</v>
      </c>
      <c r="D542" s="6" t="s">
        <v>21</v>
      </c>
      <c r="E542" s="3" t="s">
        <v>0</v>
      </c>
      <c r="F542" s="5">
        <v>46</v>
      </c>
      <c r="G542" s="5">
        <v>3020</v>
      </c>
      <c r="H542" s="8">
        <f t="shared" si="32"/>
        <v>138920</v>
      </c>
      <c r="I542" s="8">
        <f t="shared" si="33"/>
        <v>13890</v>
      </c>
      <c r="J542" s="8">
        <f t="shared" si="34"/>
        <v>152810</v>
      </c>
      <c r="K542" s="8" t="str">
        <f t="shared" si="35"/>
        <v/>
      </c>
    </row>
    <row r="543" spans="2:11" hidden="1">
      <c r="B543" s="7">
        <v>41447</v>
      </c>
      <c r="C543" s="3" t="s">
        <v>42</v>
      </c>
      <c r="D543" s="6" t="s">
        <v>25</v>
      </c>
      <c r="E543" s="3" t="s">
        <v>0</v>
      </c>
      <c r="F543" s="5">
        <v>15</v>
      </c>
      <c r="G543" s="5">
        <v>3430</v>
      </c>
      <c r="H543" s="8">
        <f t="shared" si="32"/>
        <v>51450</v>
      </c>
      <c r="I543" s="8">
        <f t="shared" si="33"/>
        <v>5140</v>
      </c>
      <c r="J543" s="8">
        <f t="shared" si="34"/>
        <v>56590</v>
      </c>
      <c r="K543" s="8" t="str">
        <f t="shared" si="35"/>
        <v/>
      </c>
    </row>
    <row r="544" spans="2:11" hidden="1">
      <c r="B544" s="7">
        <v>41447</v>
      </c>
      <c r="C544" s="3" t="s">
        <v>41</v>
      </c>
      <c r="D544" s="6" t="s">
        <v>24</v>
      </c>
      <c r="E544" s="3" t="s">
        <v>0</v>
      </c>
      <c r="F544" s="5">
        <v>22</v>
      </c>
      <c r="G544" s="5">
        <v>3810</v>
      </c>
      <c r="H544" s="8">
        <f t="shared" si="32"/>
        <v>83820</v>
      </c>
      <c r="I544" s="8">
        <f t="shared" si="33"/>
        <v>8380</v>
      </c>
      <c r="J544" s="8">
        <f t="shared" si="34"/>
        <v>92200</v>
      </c>
      <c r="K544" s="8" t="str">
        <f t="shared" si="35"/>
        <v/>
      </c>
    </row>
    <row r="545" spans="2:11" hidden="1">
      <c r="B545" s="7">
        <v>41447</v>
      </c>
      <c r="C545" s="3" t="s">
        <v>39</v>
      </c>
      <c r="D545" s="6" t="s">
        <v>20</v>
      </c>
      <c r="E545" s="3" t="s">
        <v>0</v>
      </c>
      <c r="F545" s="5">
        <v>28</v>
      </c>
      <c r="G545" s="5">
        <v>5440</v>
      </c>
      <c r="H545" s="8">
        <f t="shared" si="32"/>
        <v>152320</v>
      </c>
      <c r="I545" s="8">
        <f t="shared" si="33"/>
        <v>15230</v>
      </c>
      <c r="J545" s="8">
        <f t="shared" si="34"/>
        <v>167550</v>
      </c>
      <c r="K545" s="8" t="str">
        <f t="shared" si="35"/>
        <v/>
      </c>
    </row>
    <row r="546" spans="2:11" hidden="1">
      <c r="B546" s="7">
        <v>41449</v>
      </c>
      <c r="C546" s="3" t="s">
        <v>39</v>
      </c>
      <c r="D546" s="6" t="s">
        <v>11</v>
      </c>
      <c r="E546" s="3" t="s">
        <v>12</v>
      </c>
      <c r="F546" s="5">
        <v>31</v>
      </c>
      <c r="G546" s="5">
        <v>8330</v>
      </c>
      <c r="H546" s="8">
        <f t="shared" si="32"/>
        <v>258230</v>
      </c>
      <c r="I546" s="8">
        <f t="shared" si="33"/>
        <v>25820</v>
      </c>
      <c r="J546" s="8" t="str">
        <f t="shared" si="34"/>
        <v/>
      </c>
      <c r="K546" s="8">
        <f t="shared" si="35"/>
        <v>284050</v>
      </c>
    </row>
    <row r="547" spans="2:11" hidden="1">
      <c r="B547" s="7">
        <v>41449</v>
      </c>
      <c r="C547" s="3" t="s">
        <v>44</v>
      </c>
      <c r="D547" s="6" t="s">
        <v>24</v>
      </c>
      <c r="E547" s="3" t="s">
        <v>12</v>
      </c>
      <c r="F547" s="5">
        <v>13</v>
      </c>
      <c r="G547" s="5">
        <v>9960</v>
      </c>
      <c r="H547" s="8">
        <f t="shared" si="32"/>
        <v>129480</v>
      </c>
      <c r="I547" s="8">
        <f t="shared" si="33"/>
        <v>12940</v>
      </c>
      <c r="J547" s="8" t="str">
        <f t="shared" si="34"/>
        <v/>
      </c>
      <c r="K547" s="8">
        <f t="shared" si="35"/>
        <v>142420</v>
      </c>
    </row>
    <row r="548" spans="2:11" hidden="1">
      <c r="B548" s="7">
        <v>41449</v>
      </c>
      <c r="C548" s="3" t="s">
        <v>36</v>
      </c>
      <c r="D548" s="6" t="s">
        <v>11</v>
      </c>
      <c r="E548" s="3" t="s">
        <v>0</v>
      </c>
      <c r="F548" s="5">
        <v>49</v>
      </c>
      <c r="G548" s="5">
        <v>2430</v>
      </c>
      <c r="H548" s="8">
        <f t="shared" si="32"/>
        <v>119070</v>
      </c>
      <c r="I548" s="8">
        <f t="shared" si="33"/>
        <v>11900</v>
      </c>
      <c r="J548" s="8">
        <f t="shared" si="34"/>
        <v>130970</v>
      </c>
      <c r="K548" s="8" t="str">
        <f t="shared" si="35"/>
        <v/>
      </c>
    </row>
    <row r="549" spans="2:11" hidden="1">
      <c r="B549" s="7">
        <v>41450</v>
      </c>
      <c r="C549" s="3" t="s">
        <v>37</v>
      </c>
      <c r="D549" s="6" t="s">
        <v>15</v>
      </c>
      <c r="E549" s="3" t="s">
        <v>1</v>
      </c>
      <c r="F549" s="5">
        <v>43</v>
      </c>
      <c r="G549" s="5">
        <v>9960</v>
      </c>
      <c r="H549" s="8">
        <f t="shared" si="32"/>
        <v>428280</v>
      </c>
      <c r="I549" s="8">
        <f t="shared" si="33"/>
        <v>42820</v>
      </c>
      <c r="J549" s="8">
        <f t="shared" si="34"/>
        <v>471100</v>
      </c>
      <c r="K549" s="8" t="str">
        <f t="shared" si="35"/>
        <v/>
      </c>
    </row>
    <row r="550" spans="2:11" hidden="1">
      <c r="B550" s="7">
        <v>41450</v>
      </c>
      <c r="C550" s="3" t="s">
        <v>37</v>
      </c>
      <c r="D550" s="6" t="s">
        <v>24</v>
      </c>
      <c r="E550" s="3" t="s">
        <v>0</v>
      </c>
      <c r="F550" s="5">
        <v>10</v>
      </c>
      <c r="G550" s="5">
        <v>3650</v>
      </c>
      <c r="H550" s="8">
        <f t="shared" si="32"/>
        <v>36500</v>
      </c>
      <c r="I550" s="8">
        <f t="shared" si="33"/>
        <v>3650</v>
      </c>
      <c r="J550" s="8">
        <f t="shared" si="34"/>
        <v>40150</v>
      </c>
      <c r="K550" s="8" t="str">
        <f t="shared" si="35"/>
        <v/>
      </c>
    </row>
    <row r="551" spans="2:11" hidden="1">
      <c r="B551" s="7">
        <v>41450</v>
      </c>
      <c r="C551" s="3" t="s">
        <v>45</v>
      </c>
      <c r="D551" s="6" t="s">
        <v>11</v>
      </c>
      <c r="E551" s="3" t="s">
        <v>0</v>
      </c>
      <c r="F551" s="5">
        <v>16</v>
      </c>
      <c r="G551" s="5">
        <v>2060</v>
      </c>
      <c r="H551" s="8">
        <f t="shared" si="32"/>
        <v>32960</v>
      </c>
      <c r="I551" s="8">
        <f t="shared" si="33"/>
        <v>3290</v>
      </c>
      <c r="J551" s="8">
        <f t="shared" si="34"/>
        <v>36250</v>
      </c>
      <c r="K551" s="8" t="str">
        <f t="shared" si="35"/>
        <v/>
      </c>
    </row>
    <row r="552" spans="2:11" hidden="1">
      <c r="B552" s="7">
        <v>41450</v>
      </c>
      <c r="C552" s="3" t="s">
        <v>37</v>
      </c>
      <c r="D552" s="6" t="s">
        <v>28</v>
      </c>
      <c r="E552" s="3" t="s">
        <v>0</v>
      </c>
      <c r="F552" s="5">
        <v>35</v>
      </c>
      <c r="G552" s="5">
        <v>2840</v>
      </c>
      <c r="H552" s="8">
        <f t="shared" si="32"/>
        <v>99400</v>
      </c>
      <c r="I552" s="8">
        <f t="shared" si="33"/>
        <v>9940</v>
      </c>
      <c r="J552" s="8">
        <f t="shared" si="34"/>
        <v>109340</v>
      </c>
      <c r="K552" s="8" t="str">
        <f t="shared" si="35"/>
        <v/>
      </c>
    </row>
    <row r="553" spans="2:11" hidden="1">
      <c r="B553" s="7">
        <v>41450</v>
      </c>
      <c r="C553" s="3" t="s">
        <v>38</v>
      </c>
      <c r="D553" s="6" t="s">
        <v>17</v>
      </c>
      <c r="E553" s="3" t="s">
        <v>0</v>
      </c>
      <c r="F553" s="5">
        <v>39</v>
      </c>
      <c r="G553" s="5">
        <v>14860</v>
      </c>
      <c r="H553" s="8">
        <f t="shared" si="32"/>
        <v>579540</v>
      </c>
      <c r="I553" s="8">
        <f t="shared" si="33"/>
        <v>57950</v>
      </c>
      <c r="J553" s="8">
        <f t="shared" si="34"/>
        <v>637490</v>
      </c>
      <c r="K553" s="8" t="str">
        <f t="shared" si="35"/>
        <v/>
      </c>
    </row>
    <row r="554" spans="2:11" hidden="1">
      <c r="B554" s="7">
        <v>41451</v>
      </c>
      <c r="C554" s="3" t="s">
        <v>41</v>
      </c>
      <c r="D554" s="6" t="s">
        <v>24</v>
      </c>
      <c r="E554" s="3" t="s">
        <v>12</v>
      </c>
      <c r="F554" s="5">
        <v>28</v>
      </c>
      <c r="G554" s="5">
        <v>7820</v>
      </c>
      <c r="H554" s="8">
        <f t="shared" si="32"/>
        <v>218960</v>
      </c>
      <c r="I554" s="8">
        <f t="shared" si="33"/>
        <v>21890</v>
      </c>
      <c r="J554" s="8" t="str">
        <f t="shared" si="34"/>
        <v/>
      </c>
      <c r="K554" s="8">
        <f t="shared" si="35"/>
        <v>240850</v>
      </c>
    </row>
    <row r="555" spans="2:11" hidden="1">
      <c r="B555" s="7">
        <v>41451</v>
      </c>
      <c r="C555" s="3" t="s">
        <v>45</v>
      </c>
      <c r="D555" s="6" t="s">
        <v>16</v>
      </c>
      <c r="E555" s="3" t="s">
        <v>1</v>
      </c>
      <c r="F555" s="5">
        <v>46</v>
      </c>
      <c r="G555" s="5">
        <v>9820</v>
      </c>
      <c r="H555" s="8">
        <f t="shared" si="32"/>
        <v>451720</v>
      </c>
      <c r="I555" s="8">
        <f t="shared" si="33"/>
        <v>45170</v>
      </c>
      <c r="J555" s="8">
        <f t="shared" si="34"/>
        <v>496890</v>
      </c>
      <c r="K555" s="8" t="str">
        <f t="shared" si="35"/>
        <v/>
      </c>
    </row>
    <row r="556" spans="2:11" hidden="1">
      <c r="B556" s="7">
        <v>41451</v>
      </c>
      <c r="C556" s="3" t="s">
        <v>36</v>
      </c>
      <c r="D556" s="6" t="s">
        <v>20</v>
      </c>
      <c r="E556" s="3" t="s">
        <v>12</v>
      </c>
      <c r="F556" s="5">
        <v>16</v>
      </c>
      <c r="G556" s="5">
        <v>10530</v>
      </c>
      <c r="H556" s="8">
        <f t="shared" si="32"/>
        <v>168480</v>
      </c>
      <c r="I556" s="8">
        <f t="shared" si="33"/>
        <v>16840</v>
      </c>
      <c r="J556" s="8" t="str">
        <f t="shared" si="34"/>
        <v/>
      </c>
      <c r="K556" s="8">
        <f t="shared" si="35"/>
        <v>185320</v>
      </c>
    </row>
    <row r="557" spans="2:11" hidden="1">
      <c r="B557" s="7">
        <v>41451</v>
      </c>
      <c r="C557" s="3" t="s">
        <v>37</v>
      </c>
      <c r="D557" s="6" t="s">
        <v>19</v>
      </c>
      <c r="E557" s="3" t="s">
        <v>0</v>
      </c>
      <c r="F557" s="5">
        <v>25</v>
      </c>
      <c r="G557" s="5">
        <v>4440</v>
      </c>
      <c r="H557" s="8">
        <f t="shared" si="32"/>
        <v>111000</v>
      </c>
      <c r="I557" s="8">
        <f t="shared" si="33"/>
        <v>11100</v>
      </c>
      <c r="J557" s="8">
        <f t="shared" si="34"/>
        <v>122100</v>
      </c>
      <c r="K557" s="8" t="str">
        <f t="shared" si="35"/>
        <v/>
      </c>
    </row>
    <row r="558" spans="2:11" hidden="1">
      <c r="B558" s="7">
        <v>41452</v>
      </c>
      <c r="C558" s="3" t="s">
        <v>40</v>
      </c>
      <c r="D558" s="6" t="s">
        <v>25</v>
      </c>
      <c r="E558" s="3" t="s">
        <v>0</v>
      </c>
      <c r="F558" s="5">
        <v>23</v>
      </c>
      <c r="G558" s="5">
        <v>6550</v>
      </c>
      <c r="H558" s="8">
        <f t="shared" si="32"/>
        <v>150650</v>
      </c>
      <c r="I558" s="8">
        <f t="shared" si="33"/>
        <v>15060</v>
      </c>
      <c r="J558" s="8">
        <f t="shared" si="34"/>
        <v>165710</v>
      </c>
      <c r="K558" s="8" t="str">
        <f t="shared" si="35"/>
        <v/>
      </c>
    </row>
    <row r="559" spans="2:11" hidden="1">
      <c r="B559" s="7">
        <v>41453</v>
      </c>
      <c r="C559" s="3" t="s">
        <v>43</v>
      </c>
      <c r="D559" s="6" t="s">
        <v>18</v>
      </c>
      <c r="E559" s="3" t="s">
        <v>12</v>
      </c>
      <c r="F559" s="5">
        <v>39</v>
      </c>
      <c r="G559" s="5">
        <v>9990</v>
      </c>
      <c r="H559" s="8">
        <f t="shared" si="32"/>
        <v>389610</v>
      </c>
      <c r="I559" s="8">
        <f t="shared" si="33"/>
        <v>38960</v>
      </c>
      <c r="J559" s="8" t="str">
        <f t="shared" si="34"/>
        <v/>
      </c>
      <c r="K559" s="8">
        <f t="shared" si="35"/>
        <v>428570</v>
      </c>
    </row>
    <row r="560" spans="2:11" hidden="1">
      <c r="B560" s="7">
        <v>41454</v>
      </c>
      <c r="C560" s="3" t="s">
        <v>39</v>
      </c>
      <c r="D560" s="6" t="s">
        <v>22</v>
      </c>
      <c r="E560" s="3" t="s">
        <v>1</v>
      </c>
      <c r="F560" s="5">
        <v>42</v>
      </c>
      <c r="G560" s="5">
        <v>6820</v>
      </c>
      <c r="H560" s="8">
        <f t="shared" si="32"/>
        <v>286440</v>
      </c>
      <c r="I560" s="8">
        <f t="shared" si="33"/>
        <v>28640</v>
      </c>
      <c r="J560" s="8">
        <f t="shared" si="34"/>
        <v>315080</v>
      </c>
      <c r="K560" s="8" t="str">
        <f t="shared" si="35"/>
        <v/>
      </c>
    </row>
    <row r="561" spans="2:11" hidden="1">
      <c r="B561" s="7">
        <v>41454</v>
      </c>
      <c r="C561" s="3" t="s">
        <v>41</v>
      </c>
      <c r="D561" s="6" t="s">
        <v>22</v>
      </c>
      <c r="E561" s="3" t="s">
        <v>0</v>
      </c>
      <c r="F561" s="5">
        <v>12</v>
      </c>
      <c r="G561" s="5">
        <v>2430</v>
      </c>
      <c r="H561" s="8">
        <f t="shared" si="32"/>
        <v>29160</v>
      </c>
      <c r="I561" s="8">
        <f t="shared" si="33"/>
        <v>2910</v>
      </c>
      <c r="J561" s="8">
        <f t="shared" si="34"/>
        <v>32070</v>
      </c>
      <c r="K561" s="8" t="str">
        <f t="shared" si="35"/>
        <v/>
      </c>
    </row>
    <row r="562" spans="2:11" hidden="1">
      <c r="B562" s="7">
        <v>41455</v>
      </c>
      <c r="C562" s="3" t="s">
        <v>41</v>
      </c>
      <c r="D562" s="6" t="s">
        <v>13</v>
      </c>
      <c r="E562" s="3" t="s">
        <v>0</v>
      </c>
      <c r="F562" s="5">
        <v>21</v>
      </c>
      <c r="G562" s="5">
        <v>5170</v>
      </c>
      <c r="H562" s="8">
        <f t="shared" si="32"/>
        <v>108570</v>
      </c>
      <c r="I562" s="8">
        <f t="shared" si="33"/>
        <v>10850</v>
      </c>
      <c r="J562" s="8">
        <f t="shared" si="34"/>
        <v>119420</v>
      </c>
      <c r="K562" s="8" t="str">
        <f t="shared" si="35"/>
        <v/>
      </c>
    </row>
    <row r="563" spans="2:11">
      <c r="B563" s="7">
        <v>41456</v>
      </c>
      <c r="C563" s="3" t="s">
        <v>39</v>
      </c>
      <c r="D563" s="6" t="s">
        <v>22</v>
      </c>
      <c r="E563" s="3" t="s">
        <v>12</v>
      </c>
      <c r="F563" s="5">
        <v>8</v>
      </c>
      <c r="G563" s="5">
        <v>6570</v>
      </c>
      <c r="H563" s="8">
        <f t="shared" si="32"/>
        <v>52560</v>
      </c>
      <c r="I563" s="8">
        <f t="shared" si="33"/>
        <v>5250</v>
      </c>
      <c r="J563" s="8" t="str">
        <f t="shared" si="34"/>
        <v/>
      </c>
      <c r="K563" s="8">
        <f t="shared" si="35"/>
        <v>57810</v>
      </c>
    </row>
    <row r="564" spans="2:11" hidden="1">
      <c r="B564" s="7">
        <v>41456</v>
      </c>
      <c r="C564" s="3" t="s">
        <v>36</v>
      </c>
      <c r="D564" s="6" t="s">
        <v>13</v>
      </c>
      <c r="E564" s="3" t="s">
        <v>0</v>
      </c>
      <c r="F564" s="5">
        <v>29</v>
      </c>
      <c r="G564" s="5">
        <v>3160</v>
      </c>
      <c r="H564" s="8">
        <f t="shared" si="32"/>
        <v>91640</v>
      </c>
      <c r="I564" s="8">
        <f t="shared" si="33"/>
        <v>9160</v>
      </c>
      <c r="J564" s="8">
        <f t="shared" si="34"/>
        <v>100800</v>
      </c>
      <c r="K564" s="8" t="str">
        <f t="shared" si="35"/>
        <v/>
      </c>
    </row>
    <row r="565" spans="2:11" hidden="1">
      <c r="B565" s="7">
        <v>41456</v>
      </c>
      <c r="C565" s="3" t="s">
        <v>40</v>
      </c>
      <c r="D565" s="6" t="s">
        <v>17</v>
      </c>
      <c r="E565" s="3" t="s">
        <v>0</v>
      </c>
      <c r="F565" s="5">
        <v>21</v>
      </c>
      <c r="G565" s="5">
        <v>6190</v>
      </c>
      <c r="H565" s="8">
        <f t="shared" si="32"/>
        <v>129990</v>
      </c>
      <c r="I565" s="8">
        <f t="shared" si="33"/>
        <v>12990</v>
      </c>
      <c r="J565" s="8">
        <f t="shared" si="34"/>
        <v>142980</v>
      </c>
      <c r="K565" s="8" t="str">
        <f t="shared" si="35"/>
        <v/>
      </c>
    </row>
    <row r="566" spans="2:11">
      <c r="B566" s="7">
        <v>41458</v>
      </c>
      <c r="C566" s="3" t="s">
        <v>39</v>
      </c>
      <c r="D566" s="6" t="s">
        <v>16</v>
      </c>
      <c r="E566" s="3" t="s">
        <v>12</v>
      </c>
      <c r="F566" s="5">
        <v>50</v>
      </c>
      <c r="G566" s="5">
        <v>9370</v>
      </c>
      <c r="H566" s="8">
        <f t="shared" si="32"/>
        <v>468500</v>
      </c>
      <c r="I566" s="8">
        <f t="shared" si="33"/>
        <v>46850</v>
      </c>
      <c r="J566" s="8" t="str">
        <f t="shared" si="34"/>
        <v/>
      </c>
      <c r="K566" s="8">
        <f t="shared" si="35"/>
        <v>515350</v>
      </c>
    </row>
    <row r="567" spans="2:11">
      <c r="B567" s="7">
        <v>41459</v>
      </c>
      <c r="C567" s="3" t="s">
        <v>40</v>
      </c>
      <c r="D567" s="6" t="s">
        <v>16</v>
      </c>
      <c r="E567" s="3" t="s">
        <v>12</v>
      </c>
      <c r="F567" s="5">
        <v>47</v>
      </c>
      <c r="G567" s="5">
        <v>9370</v>
      </c>
      <c r="H567" s="8">
        <f t="shared" si="32"/>
        <v>440390</v>
      </c>
      <c r="I567" s="8">
        <f t="shared" si="33"/>
        <v>44030</v>
      </c>
      <c r="J567" s="8" t="str">
        <f t="shared" si="34"/>
        <v/>
      </c>
      <c r="K567" s="8">
        <f t="shared" si="35"/>
        <v>484420</v>
      </c>
    </row>
    <row r="568" spans="2:11" hidden="1">
      <c r="B568" s="7">
        <v>41459</v>
      </c>
      <c r="C568" s="3" t="s">
        <v>39</v>
      </c>
      <c r="D568" s="6" t="s">
        <v>19</v>
      </c>
      <c r="E568" s="3" t="s">
        <v>0</v>
      </c>
      <c r="F568" s="5">
        <v>6</v>
      </c>
      <c r="G568" s="5">
        <v>2180</v>
      </c>
      <c r="H568" s="8">
        <f t="shared" si="32"/>
        <v>13080</v>
      </c>
      <c r="I568" s="8">
        <f t="shared" si="33"/>
        <v>1300</v>
      </c>
      <c r="J568" s="8">
        <f t="shared" si="34"/>
        <v>14380</v>
      </c>
      <c r="K568" s="8" t="str">
        <f t="shared" si="35"/>
        <v/>
      </c>
    </row>
    <row r="569" spans="2:11">
      <c r="B569" s="7">
        <v>41460</v>
      </c>
      <c r="C569" s="3" t="s">
        <v>36</v>
      </c>
      <c r="D569" s="6" t="s">
        <v>27</v>
      </c>
      <c r="E569" s="3" t="s">
        <v>12</v>
      </c>
      <c r="F569" s="5">
        <v>33</v>
      </c>
      <c r="G569" s="5">
        <v>9200</v>
      </c>
      <c r="H569" s="8">
        <f t="shared" si="32"/>
        <v>303600</v>
      </c>
      <c r="I569" s="8">
        <f t="shared" si="33"/>
        <v>30360</v>
      </c>
      <c r="J569" s="8" t="str">
        <f t="shared" si="34"/>
        <v/>
      </c>
      <c r="K569" s="8">
        <f t="shared" si="35"/>
        <v>333960</v>
      </c>
    </row>
    <row r="570" spans="2:11" hidden="1">
      <c r="B570" s="7">
        <v>41460</v>
      </c>
      <c r="C570" s="3" t="s">
        <v>36</v>
      </c>
      <c r="D570" s="6" t="s">
        <v>21</v>
      </c>
      <c r="E570" s="3" t="s">
        <v>0</v>
      </c>
      <c r="F570" s="5">
        <v>20</v>
      </c>
      <c r="G570" s="5">
        <v>3190</v>
      </c>
      <c r="H570" s="8">
        <f t="shared" si="32"/>
        <v>63800</v>
      </c>
      <c r="I570" s="8">
        <f t="shared" si="33"/>
        <v>6380</v>
      </c>
      <c r="J570" s="8">
        <f t="shared" si="34"/>
        <v>70180</v>
      </c>
      <c r="K570" s="8" t="str">
        <f t="shared" si="35"/>
        <v/>
      </c>
    </row>
    <row r="571" spans="2:11" hidden="1">
      <c r="B571" s="7">
        <v>41462</v>
      </c>
      <c r="C571" s="3" t="s">
        <v>39</v>
      </c>
      <c r="D571" s="6" t="s">
        <v>21</v>
      </c>
      <c r="E571" s="3" t="s">
        <v>1</v>
      </c>
      <c r="F571" s="5">
        <v>50</v>
      </c>
      <c r="G571" s="5">
        <v>6820</v>
      </c>
      <c r="H571" s="8">
        <f t="shared" si="32"/>
        <v>341000</v>
      </c>
      <c r="I571" s="8">
        <f t="shared" si="33"/>
        <v>34100</v>
      </c>
      <c r="J571" s="8">
        <f t="shared" si="34"/>
        <v>375100</v>
      </c>
      <c r="K571" s="8" t="str">
        <f t="shared" si="35"/>
        <v/>
      </c>
    </row>
    <row r="572" spans="2:11" hidden="1">
      <c r="B572" s="7">
        <v>41462</v>
      </c>
      <c r="C572" s="3" t="s">
        <v>37</v>
      </c>
      <c r="D572" s="6" t="s">
        <v>18</v>
      </c>
      <c r="E572" s="3" t="s">
        <v>0</v>
      </c>
      <c r="F572" s="5">
        <v>19</v>
      </c>
      <c r="G572" s="5">
        <v>3830</v>
      </c>
      <c r="H572" s="8">
        <f t="shared" si="32"/>
        <v>72770</v>
      </c>
      <c r="I572" s="8">
        <f t="shared" si="33"/>
        <v>7270</v>
      </c>
      <c r="J572" s="8">
        <f t="shared" si="34"/>
        <v>80040</v>
      </c>
      <c r="K572" s="8" t="str">
        <f t="shared" si="35"/>
        <v/>
      </c>
    </row>
    <row r="573" spans="2:11" hidden="1">
      <c r="B573" s="7">
        <v>41462</v>
      </c>
      <c r="C573" s="3" t="s">
        <v>40</v>
      </c>
      <c r="D573" s="6" t="s">
        <v>19</v>
      </c>
      <c r="E573" s="3" t="s">
        <v>0</v>
      </c>
      <c r="F573" s="5">
        <v>6</v>
      </c>
      <c r="G573" s="5">
        <v>4310</v>
      </c>
      <c r="H573" s="8">
        <f t="shared" si="32"/>
        <v>25860</v>
      </c>
      <c r="I573" s="8">
        <f t="shared" si="33"/>
        <v>2580</v>
      </c>
      <c r="J573" s="8">
        <f t="shared" si="34"/>
        <v>28440</v>
      </c>
      <c r="K573" s="8" t="str">
        <f t="shared" si="35"/>
        <v/>
      </c>
    </row>
    <row r="574" spans="2:11">
      <c r="B574" s="7">
        <v>41463</v>
      </c>
      <c r="C574" s="3" t="s">
        <v>41</v>
      </c>
      <c r="D574" s="6" t="s">
        <v>18</v>
      </c>
      <c r="E574" s="3" t="s">
        <v>12</v>
      </c>
      <c r="F574" s="5">
        <v>7</v>
      </c>
      <c r="G574" s="5">
        <v>7720</v>
      </c>
      <c r="H574" s="8">
        <f t="shared" si="32"/>
        <v>54040</v>
      </c>
      <c r="I574" s="8">
        <f t="shared" si="33"/>
        <v>5400</v>
      </c>
      <c r="J574" s="8" t="str">
        <f t="shared" si="34"/>
        <v/>
      </c>
      <c r="K574" s="8">
        <f t="shared" si="35"/>
        <v>59440</v>
      </c>
    </row>
    <row r="575" spans="2:11">
      <c r="B575" s="7">
        <v>41463</v>
      </c>
      <c r="C575" s="3" t="s">
        <v>39</v>
      </c>
      <c r="D575" s="6" t="s">
        <v>20</v>
      </c>
      <c r="E575" s="3" t="s">
        <v>12</v>
      </c>
      <c r="F575" s="5">
        <v>25</v>
      </c>
      <c r="G575" s="5">
        <v>8650</v>
      </c>
      <c r="H575" s="8">
        <f t="shared" si="32"/>
        <v>216250</v>
      </c>
      <c r="I575" s="8">
        <f t="shared" si="33"/>
        <v>21620</v>
      </c>
      <c r="J575" s="8" t="str">
        <f t="shared" si="34"/>
        <v/>
      </c>
      <c r="K575" s="8">
        <f t="shared" si="35"/>
        <v>237870</v>
      </c>
    </row>
    <row r="576" spans="2:11">
      <c r="B576" s="7">
        <v>41463</v>
      </c>
      <c r="C576" s="3" t="s">
        <v>37</v>
      </c>
      <c r="D576" s="6" t="s">
        <v>16</v>
      </c>
      <c r="E576" s="3" t="s">
        <v>12</v>
      </c>
      <c r="F576" s="5">
        <v>15</v>
      </c>
      <c r="G576" s="5">
        <v>9670</v>
      </c>
      <c r="H576" s="8">
        <f t="shared" si="32"/>
        <v>145050</v>
      </c>
      <c r="I576" s="8">
        <f t="shared" si="33"/>
        <v>14500</v>
      </c>
      <c r="J576" s="8" t="str">
        <f t="shared" si="34"/>
        <v/>
      </c>
      <c r="K576" s="8">
        <f t="shared" si="35"/>
        <v>159550</v>
      </c>
    </row>
    <row r="577" spans="2:11" hidden="1">
      <c r="B577" s="7">
        <v>41463</v>
      </c>
      <c r="C577" s="3" t="s">
        <v>42</v>
      </c>
      <c r="D577" s="6" t="s">
        <v>20</v>
      </c>
      <c r="E577" s="3" t="s">
        <v>1</v>
      </c>
      <c r="F577" s="5">
        <v>24</v>
      </c>
      <c r="G577" s="5">
        <v>10800</v>
      </c>
      <c r="H577" s="8">
        <f t="shared" si="32"/>
        <v>259200</v>
      </c>
      <c r="I577" s="8">
        <f t="shared" si="33"/>
        <v>25920</v>
      </c>
      <c r="J577" s="8">
        <f t="shared" si="34"/>
        <v>285120</v>
      </c>
      <c r="K577" s="8" t="str">
        <f t="shared" si="35"/>
        <v/>
      </c>
    </row>
    <row r="578" spans="2:11">
      <c r="B578" s="7">
        <v>41463</v>
      </c>
      <c r="C578" s="3" t="s">
        <v>39</v>
      </c>
      <c r="D578" s="6" t="s">
        <v>17</v>
      </c>
      <c r="E578" s="3" t="s">
        <v>12</v>
      </c>
      <c r="F578" s="5">
        <v>13</v>
      </c>
      <c r="G578" s="5">
        <v>21180</v>
      </c>
      <c r="H578" s="8">
        <f t="shared" si="32"/>
        <v>275340</v>
      </c>
      <c r="I578" s="8">
        <f t="shared" si="33"/>
        <v>27530</v>
      </c>
      <c r="J578" s="8" t="str">
        <f t="shared" si="34"/>
        <v/>
      </c>
      <c r="K578" s="8">
        <f t="shared" si="35"/>
        <v>302870</v>
      </c>
    </row>
    <row r="579" spans="2:11" hidden="1">
      <c r="B579" s="7">
        <v>41463</v>
      </c>
      <c r="C579" s="3" t="s">
        <v>42</v>
      </c>
      <c r="D579" s="6" t="s">
        <v>27</v>
      </c>
      <c r="E579" s="3" t="s">
        <v>0</v>
      </c>
      <c r="F579" s="5">
        <v>6</v>
      </c>
      <c r="G579" s="5">
        <v>3060</v>
      </c>
      <c r="H579" s="8">
        <f t="shared" si="32"/>
        <v>18360</v>
      </c>
      <c r="I579" s="8">
        <f t="shared" si="33"/>
        <v>1830</v>
      </c>
      <c r="J579" s="8">
        <f t="shared" si="34"/>
        <v>20190</v>
      </c>
      <c r="K579" s="8" t="str">
        <f t="shared" si="35"/>
        <v/>
      </c>
    </row>
    <row r="580" spans="2:11" hidden="1">
      <c r="B580" s="7">
        <v>41463</v>
      </c>
      <c r="C580" s="3" t="s">
        <v>39</v>
      </c>
      <c r="D580" s="6" t="s">
        <v>20</v>
      </c>
      <c r="E580" s="3" t="s">
        <v>0</v>
      </c>
      <c r="F580" s="5">
        <v>44</v>
      </c>
      <c r="G580" s="5">
        <v>3830</v>
      </c>
      <c r="H580" s="8">
        <f t="shared" si="32"/>
        <v>168520</v>
      </c>
      <c r="I580" s="8">
        <f t="shared" si="33"/>
        <v>16850</v>
      </c>
      <c r="J580" s="8">
        <f t="shared" si="34"/>
        <v>185370</v>
      </c>
      <c r="K580" s="8" t="str">
        <f t="shared" si="35"/>
        <v/>
      </c>
    </row>
    <row r="581" spans="2:11" hidden="1">
      <c r="B581" s="7">
        <v>41463</v>
      </c>
      <c r="C581" s="3" t="s">
        <v>38</v>
      </c>
      <c r="D581" s="6" t="s">
        <v>18</v>
      </c>
      <c r="E581" s="3" t="s">
        <v>0</v>
      </c>
      <c r="F581" s="5">
        <v>26</v>
      </c>
      <c r="G581" s="5">
        <v>4630</v>
      </c>
      <c r="H581" s="8">
        <f t="shared" si="32"/>
        <v>120380</v>
      </c>
      <c r="I581" s="8">
        <f t="shared" si="33"/>
        <v>12030</v>
      </c>
      <c r="J581" s="8">
        <f t="shared" si="34"/>
        <v>132410</v>
      </c>
      <c r="K581" s="8" t="str">
        <f t="shared" si="35"/>
        <v/>
      </c>
    </row>
    <row r="582" spans="2:11">
      <c r="B582" s="7">
        <v>41464</v>
      </c>
      <c r="C582" s="3" t="s">
        <v>45</v>
      </c>
      <c r="D582" s="6" t="s">
        <v>16</v>
      </c>
      <c r="E582" s="3" t="s">
        <v>12</v>
      </c>
      <c r="F582" s="5">
        <v>15</v>
      </c>
      <c r="G582" s="5">
        <v>8330</v>
      </c>
      <c r="H582" s="8">
        <f t="shared" si="32"/>
        <v>124950</v>
      </c>
      <c r="I582" s="8">
        <f t="shared" si="33"/>
        <v>12490</v>
      </c>
      <c r="J582" s="8" t="str">
        <f t="shared" si="34"/>
        <v/>
      </c>
      <c r="K582" s="8">
        <f t="shared" si="35"/>
        <v>137440</v>
      </c>
    </row>
    <row r="583" spans="2:11">
      <c r="B583" s="7">
        <v>41465</v>
      </c>
      <c r="C583" s="3" t="s">
        <v>39</v>
      </c>
      <c r="D583" s="6" t="s">
        <v>19</v>
      </c>
      <c r="E583" s="3" t="s">
        <v>12</v>
      </c>
      <c r="F583" s="5">
        <v>5</v>
      </c>
      <c r="G583" s="5">
        <v>6070</v>
      </c>
      <c r="H583" s="8">
        <f t="shared" si="32"/>
        <v>30350</v>
      </c>
      <c r="I583" s="8">
        <f t="shared" si="33"/>
        <v>3030</v>
      </c>
      <c r="J583" s="8" t="str">
        <f t="shared" si="34"/>
        <v/>
      </c>
      <c r="K583" s="8">
        <f t="shared" si="35"/>
        <v>33380</v>
      </c>
    </row>
    <row r="584" spans="2:11">
      <c r="B584" s="7">
        <v>41465</v>
      </c>
      <c r="C584" s="3" t="s">
        <v>39</v>
      </c>
      <c r="D584" s="6" t="s">
        <v>26</v>
      </c>
      <c r="E584" s="3" t="s">
        <v>12</v>
      </c>
      <c r="F584" s="5">
        <v>14</v>
      </c>
      <c r="G584" s="5">
        <v>7320</v>
      </c>
      <c r="H584" s="8">
        <f t="shared" si="32"/>
        <v>102480</v>
      </c>
      <c r="I584" s="8">
        <f t="shared" si="33"/>
        <v>10240</v>
      </c>
      <c r="J584" s="8" t="str">
        <f t="shared" si="34"/>
        <v/>
      </c>
      <c r="K584" s="8">
        <f t="shared" si="35"/>
        <v>112720</v>
      </c>
    </row>
    <row r="585" spans="2:11">
      <c r="B585" s="7">
        <v>41465</v>
      </c>
      <c r="C585" s="3" t="s">
        <v>36</v>
      </c>
      <c r="D585" s="6" t="s">
        <v>29</v>
      </c>
      <c r="E585" s="3" t="s">
        <v>12</v>
      </c>
      <c r="F585" s="5">
        <v>12</v>
      </c>
      <c r="G585" s="5">
        <v>8330</v>
      </c>
      <c r="H585" s="8">
        <f t="shared" si="32"/>
        <v>99960</v>
      </c>
      <c r="I585" s="8">
        <f t="shared" si="33"/>
        <v>9990</v>
      </c>
      <c r="J585" s="8" t="str">
        <f t="shared" si="34"/>
        <v/>
      </c>
      <c r="K585" s="8">
        <f t="shared" si="35"/>
        <v>109950</v>
      </c>
    </row>
    <row r="586" spans="2:11">
      <c r="B586" s="7">
        <v>41465</v>
      </c>
      <c r="C586" s="3" t="s">
        <v>39</v>
      </c>
      <c r="D586" s="6" t="s">
        <v>25</v>
      </c>
      <c r="E586" s="3" t="s">
        <v>12</v>
      </c>
      <c r="F586" s="5">
        <v>7</v>
      </c>
      <c r="G586" s="5">
        <v>9370</v>
      </c>
      <c r="H586" s="8">
        <f t="shared" si="32"/>
        <v>65590</v>
      </c>
      <c r="I586" s="8">
        <f t="shared" si="33"/>
        <v>6550</v>
      </c>
      <c r="J586" s="8" t="str">
        <f t="shared" si="34"/>
        <v/>
      </c>
      <c r="K586" s="8">
        <f t="shared" si="35"/>
        <v>72140</v>
      </c>
    </row>
    <row r="587" spans="2:11">
      <c r="B587" s="7">
        <v>41465</v>
      </c>
      <c r="C587" s="3" t="s">
        <v>43</v>
      </c>
      <c r="D587" s="6" t="s">
        <v>28</v>
      </c>
      <c r="E587" s="3" t="s">
        <v>12</v>
      </c>
      <c r="F587" s="5">
        <v>19</v>
      </c>
      <c r="G587" s="5">
        <v>11600</v>
      </c>
      <c r="H587" s="8">
        <f t="shared" si="32"/>
        <v>220400</v>
      </c>
      <c r="I587" s="8">
        <f t="shared" si="33"/>
        <v>22040</v>
      </c>
      <c r="J587" s="8" t="str">
        <f t="shared" si="34"/>
        <v/>
      </c>
      <c r="K587" s="8">
        <f t="shared" si="35"/>
        <v>242440</v>
      </c>
    </row>
    <row r="588" spans="2:11" hidden="1">
      <c r="B588" s="7">
        <v>41465</v>
      </c>
      <c r="C588" s="3" t="s">
        <v>36</v>
      </c>
      <c r="D588" s="6" t="s">
        <v>13</v>
      </c>
      <c r="E588" s="3" t="s">
        <v>0</v>
      </c>
      <c r="F588" s="5">
        <v>6</v>
      </c>
      <c r="G588" s="5">
        <v>1950</v>
      </c>
      <c r="H588" s="8">
        <f t="shared" si="32"/>
        <v>11700</v>
      </c>
      <c r="I588" s="8">
        <f t="shared" si="33"/>
        <v>1170</v>
      </c>
      <c r="J588" s="8">
        <f t="shared" si="34"/>
        <v>12870</v>
      </c>
      <c r="K588" s="8" t="str">
        <f t="shared" si="35"/>
        <v/>
      </c>
    </row>
    <row r="589" spans="2:11" hidden="1">
      <c r="B589" s="7">
        <v>41465</v>
      </c>
      <c r="C589" s="3" t="s">
        <v>41</v>
      </c>
      <c r="D589" s="6" t="s">
        <v>21</v>
      </c>
      <c r="E589" s="3" t="s">
        <v>0</v>
      </c>
      <c r="F589" s="5">
        <v>7</v>
      </c>
      <c r="G589" s="5">
        <v>3940</v>
      </c>
      <c r="H589" s="8">
        <f t="shared" ref="H589:H652" si="36">F589*G589</f>
        <v>27580</v>
      </c>
      <c r="I589" s="8">
        <f t="shared" ref="I589:I652" si="37">TRUNC(H589*10%,-1)</f>
        <v>2750</v>
      </c>
      <c r="J589" s="8">
        <f t="shared" ref="J589:J652" si="38">IF(E589="매입",H589+I589,"")</f>
        <v>30330</v>
      </c>
      <c r="K589" s="8" t="str">
        <f t="shared" ref="K589:K652" si="39">IF(E589="매출",H589+I589,"")</f>
        <v/>
      </c>
    </row>
    <row r="590" spans="2:11" hidden="1">
      <c r="B590" s="7">
        <v>41465</v>
      </c>
      <c r="C590" s="3" t="s">
        <v>38</v>
      </c>
      <c r="D590" s="6" t="s">
        <v>28</v>
      </c>
      <c r="E590" s="3" t="s">
        <v>0</v>
      </c>
      <c r="F590" s="5">
        <v>16</v>
      </c>
      <c r="G590" s="5">
        <v>4770</v>
      </c>
      <c r="H590" s="8">
        <f t="shared" si="36"/>
        <v>76320</v>
      </c>
      <c r="I590" s="8">
        <f t="shared" si="37"/>
        <v>7630</v>
      </c>
      <c r="J590" s="8">
        <f t="shared" si="38"/>
        <v>83950</v>
      </c>
      <c r="K590" s="8" t="str">
        <f t="shared" si="39"/>
        <v/>
      </c>
    </row>
    <row r="591" spans="2:11" hidden="1">
      <c r="B591" s="7">
        <v>41465</v>
      </c>
      <c r="C591" s="3" t="s">
        <v>39</v>
      </c>
      <c r="D591" s="6" t="s">
        <v>16</v>
      </c>
      <c r="E591" s="3" t="s">
        <v>0</v>
      </c>
      <c r="F591" s="5">
        <v>50</v>
      </c>
      <c r="G591" s="5">
        <v>5960</v>
      </c>
      <c r="H591" s="8">
        <f t="shared" si="36"/>
        <v>298000</v>
      </c>
      <c r="I591" s="8">
        <f t="shared" si="37"/>
        <v>29800</v>
      </c>
      <c r="J591" s="8">
        <f t="shared" si="38"/>
        <v>327800</v>
      </c>
      <c r="K591" s="8" t="str">
        <f t="shared" si="39"/>
        <v/>
      </c>
    </row>
    <row r="592" spans="2:11">
      <c r="B592" s="7">
        <v>41466</v>
      </c>
      <c r="C592" s="3" t="s">
        <v>37</v>
      </c>
      <c r="D592" s="6" t="s">
        <v>24</v>
      </c>
      <c r="E592" s="3" t="s">
        <v>12</v>
      </c>
      <c r="F592" s="5">
        <v>25</v>
      </c>
      <c r="G592" s="5">
        <v>6320</v>
      </c>
      <c r="H592" s="8">
        <f t="shared" si="36"/>
        <v>158000</v>
      </c>
      <c r="I592" s="8">
        <f t="shared" si="37"/>
        <v>15800</v>
      </c>
      <c r="J592" s="8" t="str">
        <f t="shared" si="38"/>
        <v/>
      </c>
      <c r="K592" s="8">
        <f t="shared" si="39"/>
        <v>173800</v>
      </c>
    </row>
    <row r="593" spans="2:11">
      <c r="B593" s="7">
        <v>41466</v>
      </c>
      <c r="C593" s="3" t="s">
        <v>40</v>
      </c>
      <c r="D593" s="6" t="s">
        <v>18</v>
      </c>
      <c r="E593" s="3" t="s">
        <v>12</v>
      </c>
      <c r="F593" s="5">
        <v>21</v>
      </c>
      <c r="G593" s="5">
        <v>10800</v>
      </c>
      <c r="H593" s="8">
        <f t="shared" si="36"/>
        <v>226800</v>
      </c>
      <c r="I593" s="8">
        <f t="shared" si="37"/>
        <v>22680</v>
      </c>
      <c r="J593" s="8" t="str">
        <f t="shared" si="38"/>
        <v/>
      </c>
      <c r="K593" s="8">
        <f t="shared" si="39"/>
        <v>249480</v>
      </c>
    </row>
    <row r="594" spans="2:11" hidden="1">
      <c r="B594" s="7">
        <v>41466</v>
      </c>
      <c r="C594" s="3" t="s">
        <v>42</v>
      </c>
      <c r="D594" s="6" t="s">
        <v>21</v>
      </c>
      <c r="E594" s="3" t="s">
        <v>0</v>
      </c>
      <c r="F594" s="5">
        <v>22</v>
      </c>
      <c r="G594" s="5">
        <v>3650</v>
      </c>
      <c r="H594" s="8">
        <f t="shared" si="36"/>
        <v>80300</v>
      </c>
      <c r="I594" s="8">
        <f t="shared" si="37"/>
        <v>8030</v>
      </c>
      <c r="J594" s="8">
        <f t="shared" si="38"/>
        <v>88330</v>
      </c>
      <c r="K594" s="8" t="str">
        <f t="shared" si="39"/>
        <v/>
      </c>
    </row>
    <row r="595" spans="2:11" hidden="1">
      <c r="B595" s="7">
        <v>41466</v>
      </c>
      <c r="C595" s="3" t="s">
        <v>37</v>
      </c>
      <c r="D595" s="6" t="s">
        <v>17</v>
      </c>
      <c r="E595" s="3" t="s">
        <v>0</v>
      </c>
      <c r="F595" s="5">
        <v>20</v>
      </c>
      <c r="G595" s="5">
        <v>9000</v>
      </c>
      <c r="H595" s="8">
        <f t="shared" si="36"/>
        <v>180000</v>
      </c>
      <c r="I595" s="8">
        <f t="shared" si="37"/>
        <v>18000</v>
      </c>
      <c r="J595" s="8">
        <f t="shared" si="38"/>
        <v>198000</v>
      </c>
      <c r="K595" s="8" t="str">
        <f t="shared" si="39"/>
        <v/>
      </c>
    </row>
    <row r="596" spans="2:11">
      <c r="B596" s="7">
        <v>41467</v>
      </c>
      <c r="C596" s="3" t="s">
        <v>38</v>
      </c>
      <c r="D596" s="6" t="s">
        <v>19</v>
      </c>
      <c r="E596" s="3" t="s">
        <v>12</v>
      </c>
      <c r="F596" s="5">
        <v>50</v>
      </c>
      <c r="G596" s="5">
        <v>6450</v>
      </c>
      <c r="H596" s="8">
        <f t="shared" si="36"/>
        <v>322500</v>
      </c>
      <c r="I596" s="8">
        <f t="shared" si="37"/>
        <v>32250</v>
      </c>
      <c r="J596" s="8" t="str">
        <f t="shared" si="38"/>
        <v/>
      </c>
      <c r="K596" s="8">
        <f t="shared" si="39"/>
        <v>354750</v>
      </c>
    </row>
    <row r="597" spans="2:11" hidden="1">
      <c r="B597" s="7">
        <v>41467</v>
      </c>
      <c r="C597" s="3" t="s">
        <v>43</v>
      </c>
      <c r="D597" s="6" t="s">
        <v>17</v>
      </c>
      <c r="E597" s="3" t="s">
        <v>1</v>
      </c>
      <c r="F597" s="5">
        <v>30</v>
      </c>
      <c r="G597" s="5">
        <v>16500</v>
      </c>
      <c r="H597" s="8">
        <f t="shared" si="36"/>
        <v>495000</v>
      </c>
      <c r="I597" s="8">
        <f t="shared" si="37"/>
        <v>49500</v>
      </c>
      <c r="J597" s="8">
        <f t="shared" si="38"/>
        <v>544500</v>
      </c>
      <c r="K597" s="8" t="str">
        <f t="shared" si="39"/>
        <v/>
      </c>
    </row>
    <row r="598" spans="2:11" hidden="1">
      <c r="B598" s="7">
        <v>41467</v>
      </c>
      <c r="C598" s="3" t="s">
        <v>36</v>
      </c>
      <c r="D598" s="6" t="s">
        <v>24</v>
      </c>
      <c r="E598" s="3" t="s">
        <v>0</v>
      </c>
      <c r="F598" s="5">
        <v>30</v>
      </c>
      <c r="G598" s="5">
        <v>4440</v>
      </c>
      <c r="H598" s="8">
        <f t="shared" si="36"/>
        <v>133200</v>
      </c>
      <c r="I598" s="8">
        <f t="shared" si="37"/>
        <v>13320</v>
      </c>
      <c r="J598" s="8">
        <f t="shared" si="38"/>
        <v>146520</v>
      </c>
      <c r="K598" s="8" t="str">
        <f t="shared" si="39"/>
        <v/>
      </c>
    </row>
    <row r="599" spans="2:11">
      <c r="B599" s="7">
        <v>41468</v>
      </c>
      <c r="C599" s="3" t="s">
        <v>42</v>
      </c>
      <c r="D599" s="6" t="s">
        <v>23</v>
      </c>
      <c r="E599" s="3" t="s">
        <v>12</v>
      </c>
      <c r="F599" s="5">
        <v>37</v>
      </c>
      <c r="G599" s="5">
        <v>6070</v>
      </c>
      <c r="H599" s="8">
        <f t="shared" si="36"/>
        <v>224590</v>
      </c>
      <c r="I599" s="8">
        <f t="shared" si="37"/>
        <v>22450</v>
      </c>
      <c r="J599" s="8" t="str">
        <f t="shared" si="38"/>
        <v/>
      </c>
      <c r="K599" s="8">
        <f t="shared" si="39"/>
        <v>247040</v>
      </c>
    </row>
    <row r="600" spans="2:11" hidden="1">
      <c r="B600" s="7">
        <v>41468</v>
      </c>
      <c r="C600" s="3" t="s">
        <v>39</v>
      </c>
      <c r="D600" s="6" t="s">
        <v>26</v>
      </c>
      <c r="E600" s="3" t="s">
        <v>0</v>
      </c>
      <c r="F600" s="5">
        <v>30</v>
      </c>
      <c r="G600" s="5">
        <v>1930</v>
      </c>
      <c r="H600" s="8">
        <f t="shared" si="36"/>
        <v>57900</v>
      </c>
      <c r="I600" s="8">
        <f t="shared" si="37"/>
        <v>5790</v>
      </c>
      <c r="J600" s="8">
        <f t="shared" si="38"/>
        <v>63690</v>
      </c>
      <c r="K600" s="8" t="str">
        <f t="shared" si="39"/>
        <v/>
      </c>
    </row>
    <row r="601" spans="2:11" hidden="1">
      <c r="B601" s="7">
        <v>41468</v>
      </c>
      <c r="C601" s="3" t="s">
        <v>40</v>
      </c>
      <c r="D601" s="6" t="s">
        <v>29</v>
      </c>
      <c r="E601" s="3" t="s">
        <v>0</v>
      </c>
      <c r="F601" s="5">
        <v>41</v>
      </c>
      <c r="G601" s="5">
        <v>4820</v>
      </c>
      <c r="H601" s="8">
        <f t="shared" si="36"/>
        <v>197620</v>
      </c>
      <c r="I601" s="8">
        <f t="shared" si="37"/>
        <v>19760</v>
      </c>
      <c r="J601" s="8">
        <f t="shared" si="38"/>
        <v>217380</v>
      </c>
      <c r="K601" s="8" t="str">
        <f t="shared" si="39"/>
        <v/>
      </c>
    </row>
    <row r="602" spans="2:11" hidden="1">
      <c r="B602" s="7">
        <v>41468</v>
      </c>
      <c r="C602" s="3" t="s">
        <v>36</v>
      </c>
      <c r="D602" s="6" t="s">
        <v>20</v>
      </c>
      <c r="E602" s="3" t="s">
        <v>0</v>
      </c>
      <c r="F602" s="5">
        <v>34</v>
      </c>
      <c r="G602" s="5">
        <v>4900</v>
      </c>
      <c r="H602" s="8">
        <f t="shared" si="36"/>
        <v>166600</v>
      </c>
      <c r="I602" s="8">
        <f t="shared" si="37"/>
        <v>16660</v>
      </c>
      <c r="J602" s="8">
        <f t="shared" si="38"/>
        <v>183260</v>
      </c>
      <c r="K602" s="8" t="str">
        <f t="shared" si="39"/>
        <v/>
      </c>
    </row>
    <row r="603" spans="2:11" hidden="1">
      <c r="B603" s="7">
        <v>41469</v>
      </c>
      <c r="C603" s="3" t="s">
        <v>44</v>
      </c>
      <c r="D603" s="6" t="s">
        <v>11</v>
      </c>
      <c r="E603" s="3" t="s">
        <v>0</v>
      </c>
      <c r="F603" s="5">
        <v>14</v>
      </c>
      <c r="G603" s="5">
        <v>1430</v>
      </c>
      <c r="H603" s="8">
        <f t="shared" si="36"/>
        <v>20020</v>
      </c>
      <c r="I603" s="8">
        <f t="shared" si="37"/>
        <v>2000</v>
      </c>
      <c r="J603" s="8">
        <f t="shared" si="38"/>
        <v>22020</v>
      </c>
      <c r="K603" s="8" t="str">
        <f t="shared" si="39"/>
        <v/>
      </c>
    </row>
    <row r="604" spans="2:11" hidden="1">
      <c r="B604" s="7">
        <v>41470</v>
      </c>
      <c r="C604" s="3" t="s">
        <v>36</v>
      </c>
      <c r="D604" s="6" t="s">
        <v>25</v>
      </c>
      <c r="E604" s="3" t="s">
        <v>1</v>
      </c>
      <c r="F604" s="5">
        <v>47</v>
      </c>
      <c r="G604" s="5">
        <v>8930</v>
      </c>
      <c r="H604" s="8">
        <f t="shared" si="36"/>
        <v>419710</v>
      </c>
      <c r="I604" s="8">
        <f t="shared" si="37"/>
        <v>41970</v>
      </c>
      <c r="J604" s="8">
        <f t="shared" si="38"/>
        <v>461680</v>
      </c>
      <c r="K604" s="8" t="str">
        <f t="shared" si="39"/>
        <v/>
      </c>
    </row>
    <row r="605" spans="2:11" hidden="1">
      <c r="B605" s="7">
        <v>41470</v>
      </c>
      <c r="C605" s="3" t="s">
        <v>37</v>
      </c>
      <c r="D605" s="6" t="s">
        <v>26</v>
      </c>
      <c r="E605" s="3" t="s">
        <v>0</v>
      </c>
      <c r="F605" s="5">
        <v>48</v>
      </c>
      <c r="G605" s="5">
        <v>1680</v>
      </c>
      <c r="H605" s="8">
        <f t="shared" si="36"/>
        <v>80640</v>
      </c>
      <c r="I605" s="8">
        <f t="shared" si="37"/>
        <v>8060</v>
      </c>
      <c r="J605" s="8">
        <f t="shared" si="38"/>
        <v>88700</v>
      </c>
      <c r="K605" s="8" t="str">
        <f t="shared" si="39"/>
        <v/>
      </c>
    </row>
    <row r="606" spans="2:11" hidden="1">
      <c r="B606" s="7">
        <v>41470</v>
      </c>
      <c r="C606" s="3" t="s">
        <v>40</v>
      </c>
      <c r="D606" s="6" t="s">
        <v>15</v>
      </c>
      <c r="E606" s="3" t="s">
        <v>0</v>
      </c>
      <c r="F606" s="5">
        <v>12</v>
      </c>
      <c r="G606" s="5">
        <v>2560</v>
      </c>
      <c r="H606" s="8">
        <f t="shared" si="36"/>
        <v>30720</v>
      </c>
      <c r="I606" s="8">
        <f t="shared" si="37"/>
        <v>3070</v>
      </c>
      <c r="J606" s="8">
        <f t="shared" si="38"/>
        <v>33790</v>
      </c>
      <c r="K606" s="8" t="str">
        <f t="shared" si="39"/>
        <v/>
      </c>
    </row>
    <row r="607" spans="2:11" hidden="1">
      <c r="B607" s="7">
        <v>41471</v>
      </c>
      <c r="C607" s="3" t="s">
        <v>44</v>
      </c>
      <c r="D607" s="6" t="s">
        <v>18</v>
      </c>
      <c r="E607" s="3" t="s">
        <v>0</v>
      </c>
      <c r="F607" s="5">
        <v>44</v>
      </c>
      <c r="G607" s="5">
        <v>3870</v>
      </c>
      <c r="H607" s="8">
        <f t="shared" si="36"/>
        <v>170280</v>
      </c>
      <c r="I607" s="8">
        <f t="shared" si="37"/>
        <v>17020</v>
      </c>
      <c r="J607" s="8">
        <f t="shared" si="38"/>
        <v>187300</v>
      </c>
      <c r="K607" s="8" t="str">
        <f t="shared" si="39"/>
        <v/>
      </c>
    </row>
    <row r="608" spans="2:11" hidden="1">
      <c r="B608" s="7">
        <v>41471</v>
      </c>
      <c r="C608" s="3" t="s">
        <v>39</v>
      </c>
      <c r="D608" s="6" t="s">
        <v>21</v>
      </c>
      <c r="E608" s="3" t="s">
        <v>0</v>
      </c>
      <c r="F608" s="5">
        <v>27</v>
      </c>
      <c r="G608" s="5">
        <v>1930</v>
      </c>
      <c r="H608" s="8">
        <f t="shared" si="36"/>
        <v>52110</v>
      </c>
      <c r="I608" s="8">
        <f t="shared" si="37"/>
        <v>5210</v>
      </c>
      <c r="J608" s="8">
        <f t="shared" si="38"/>
        <v>57320</v>
      </c>
      <c r="K608" s="8" t="str">
        <f t="shared" si="39"/>
        <v/>
      </c>
    </row>
    <row r="609" spans="2:11" hidden="1">
      <c r="B609" s="7">
        <v>41471</v>
      </c>
      <c r="C609" s="3" t="s">
        <v>38</v>
      </c>
      <c r="D609" s="6" t="s">
        <v>28</v>
      </c>
      <c r="E609" s="3" t="s">
        <v>0</v>
      </c>
      <c r="F609" s="5">
        <v>28</v>
      </c>
      <c r="G609" s="5">
        <v>2390</v>
      </c>
      <c r="H609" s="8">
        <f t="shared" si="36"/>
        <v>66920</v>
      </c>
      <c r="I609" s="8">
        <f t="shared" si="37"/>
        <v>6690</v>
      </c>
      <c r="J609" s="8">
        <f t="shared" si="38"/>
        <v>73610</v>
      </c>
      <c r="K609" s="8" t="str">
        <f t="shared" si="39"/>
        <v/>
      </c>
    </row>
    <row r="610" spans="2:11" hidden="1">
      <c r="B610" s="7">
        <v>41471</v>
      </c>
      <c r="C610" s="3" t="s">
        <v>39</v>
      </c>
      <c r="D610" s="6" t="s">
        <v>15</v>
      </c>
      <c r="E610" s="3" t="s">
        <v>0</v>
      </c>
      <c r="F610" s="5">
        <v>41</v>
      </c>
      <c r="G610" s="5">
        <v>4690</v>
      </c>
      <c r="H610" s="8">
        <f t="shared" si="36"/>
        <v>192290</v>
      </c>
      <c r="I610" s="8">
        <f t="shared" si="37"/>
        <v>19220</v>
      </c>
      <c r="J610" s="8">
        <f t="shared" si="38"/>
        <v>211510</v>
      </c>
      <c r="K610" s="8" t="str">
        <f t="shared" si="39"/>
        <v/>
      </c>
    </row>
    <row r="611" spans="2:11">
      <c r="B611" s="7">
        <v>41472</v>
      </c>
      <c r="C611" s="3" t="s">
        <v>45</v>
      </c>
      <c r="D611" s="6" t="s">
        <v>16</v>
      </c>
      <c r="E611" s="3" t="s">
        <v>12</v>
      </c>
      <c r="F611" s="5">
        <v>19</v>
      </c>
      <c r="G611" s="5">
        <v>11300</v>
      </c>
      <c r="H611" s="8">
        <f t="shared" si="36"/>
        <v>214700</v>
      </c>
      <c r="I611" s="8">
        <f t="shared" si="37"/>
        <v>21470</v>
      </c>
      <c r="J611" s="8" t="str">
        <f t="shared" si="38"/>
        <v/>
      </c>
      <c r="K611" s="8">
        <f t="shared" si="39"/>
        <v>236170</v>
      </c>
    </row>
    <row r="612" spans="2:11" hidden="1">
      <c r="B612" s="7">
        <v>41472</v>
      </c>
      <c r="C612" s="3" t="s">
        <v>41</v>
      </c>
      <c r="D612" s="6" t="s">
        <v>19</v>
      </c>
      <c r="E612" s="3" t="s">
        <v>0</v>
      </c>
      <c r="F612" s="5">
        <v>48</v>
      </c>
      <c r="G612" s="5">
        <v>3440</v>
      </c>
      <c r="H612" s="8">
        <f t="shared" si="36"/>
        <v>165120</v>
      </c>
      <c r="I612" s="8">
        <f t="shared" si="37"/>
        <v>16510</v>
      </c>
      <c r="J612" s="8">
        <f t="shared" si="38"/>
        <v>181630</v>
      </c>
      <c r="K612" s="8" t="str">
        <f t="shared" si="39"/>
        <v/>
      </c>
    </row>
    <row r="613" spans="2:11" hidden="1">
      <c r="B613" s="7">
        <v>41472</v>
      </c>
      <c r="C613" s="3" t="s">
        <v>43</v>
      </c>
      <c r="D613" s="6" t="s">
        <v>25</v>
      </c>
      <c r="E613" s="3" t="s">
        <v>0</v>
      </c>
      <c r="F613" s="5">
        <v>33</v>
      </c>
      <c r="G613" s="5">
        <v>5210</v>
      </c>
      <c r="H613" s="8">
        <f t="shared" si="36"/>
        <v>171930</v>
      </c>
      <c r="I613" s="8">
        <f t="shared" si="37"/>
        <v>17190</v>
      </c>
      <c r="J613" s="8">
        <f t="shared" si="38"/>
        <v>189120</v>
      </c>
      <c r="K613" s="8" t="str">
        <f t="shared" si="39"/>
        <v/>
      </c>
    </row>
    <row r="614" spans="2:11">
      <c r="B614" s="7">
        <v>41473</v>
      </c>
      <c r="C614" s="3" t="s">
        <v>40</v>
      </c>
      <c r="D614" s="6" t="s">
        <v>26</v>
      </c>
      <c r="E614" s="3" t="s">
        <v>12</v>
      </c>
      <c r="F614" s="5">
        <v>6</v>
      </c>
      <c r="G614" s="5">
        <v>8200</v>
      </c>
      <c r="H614" s="8">
        <f t="shared" si="36"/>
        <v>49200</v>
      </c>
      <c r="I614" s="8">
        <f t="shared" si="37"/>
        <v>4920</v>
      </c>
      <c r="J614" s="8" t="str">
        <f t="shared" si="38"/>
        <v/>
      </c>
      <c r="K614" s="8">
        <f t="shared" si="39"/>
        <v>54120</v>
      </c>
    </row>
    <row r="615" spans="2:11" hidden="1">
      <c r="B615" s="7">
        <v>41473</v>
      </c>
      <c r="C615" s="3" t="s">
        <v>36</v>
      </c>
      <c r="D615" s="6" t="s">
        <v>23</v>
      </c>
      <c r="E615" s="3" t="s">
        <v>0</v>
      </c>
      <c r="F615" s="5">
        <v>45</v>
      </c>
      <c r="G615" s="5">
        <v>2310</v>
      </c>
      <c r="H615" s="8">
        <f t="shared" si="36"/>
        <v>103950</v>
      </c>
      <c r="I615" s="8">
        <f t="shared" si="37"/>
        <v>10390</v>
      </c>
      <c r="J615" s="8">
        <f t="shared" si="38"/>
        <v>114340</v>
      </c>
      <c r="K615" s="8" t="str">
        <f t="shared" si="39"/>
        <v/>
      </c>
    </row>
    <row r="616" spans="2:11">
      <c r="B616" s="7">
        <v>41474</v>
      </c>
      <c r="C616" s="3" t="s">
        <v>36</v>
      </c>
      <c r="D616" s="6" t="s">
        <v>16</v>
      </c>
      <c r="E616" s="3" t="s">
        <v>12</v>
      </c>
      <c r="F616" s="5">
        <v>36</v>
      </c>
      <c r="G616" s="5">
        <v>12790</v>
      </c>
      <c r="H616" s="8">
        <f t="shared" si="36"/>
        <v>460440</v>
      </c>
      <c r="I616" s="8">
        <f t="shared" si="37"/>
        <v>46040</v>
      </c>
      <c r="J616" s="8" t="str">
        <f t="shared" si="38"/>
        <v/>
      </c>
      <c r="K616" s="8">
        <f t="shared" si="39"/>
        <v>506480</v>
      </c>
    </row>
    <row r="617" spans="2:11" hidden="1">
      <c r="B617" s="7">
        <v>41474</v>
      </c>
      <c r="C617" s="3" t="s">
        <v>37</v>
      </c>
      <c r="D617" s="6" t="s">
        <v>23</v>
      </c>
      <c r="E617" s="3" t="s">
        <v>0</v>
      </c>
      <c r="F617" s="5">
        <v>28</v>
      </c>
      <c r="G617" s="5">
        <v>2560</v>
      </c>
      <c r="H617" s="8">
        <f t="shared" si="36"/>
        <v>71680</v>
      </c>
      <c r="I617" s="8">
        <f t="shared" si="37"/>
        <v>7160</v>
      </c>
      <c r="J617" s="8">
        <f t="shared" si="38"/>
        <v>78840</v>
      </c>
      <c r="K617" s="8" t="str">
        <f t="shared" si="39"/>
        <v/>
      </c>
    </row>
    <row r="618" spans="2:11" hidden="1">
      <c r="B618" s="7">
        <v>41474</v>
      </c>
      <c r="C618" s="3" t="s">
        <v>42</v>
      </c>
      <c r="D618" s="6" t="s">
        <v>22</v>
      </c>
      <c r="E618" s="3" t="s">
        <v>0</v>
      </c>
      <c r="F618" s="5">
        <v>13</v>
      </c>
      <c r="G618" s="5">
        <v>3190</v>
      </c>
      <c r="H618" s="8">
        <f t="shared" si="36"/>
        <v>41470</v>
      </c>
      <c r="I618" s="8">
        <f t="shared" si="37"/>
        <v>4140</v>
      </c>
      <c r="J618" s="8">
        <f t="shared" si="38"/>
        <v>45610</v>
      </c>
      <c r="K618" s="8" t="str">
        <f t="shared" si="39"/>
        <v/>
      </c>
    </row>
    <row r="619" spans="2:11" hidden="1">
      <c r="B619" s="7">
        <v>41475</v>
      </c>
      <c r="C619" s="3" t="s">
        <v>44</v>
      </c>
      <c r="D619" s="6" t="s">
        <v>14</v>
      </c>
      <c r="E619" s="3" t="s">
        <v>0</v>
      </c>
      <c r="F619" s="5">
        <v>17</v>
      </c>
      <c r="G619" s="5">
        <v>1640</v>
      </c>
      <c r="H619" s="8">
        <f t="shared" si="36"/>
        <v>27880</v>
      </c>
      <c r="I619" s="8">
        <f t="shared" si="37"/>
        <v>2780</v>
      </c>
      <c r="J619" s="8">
        <f t="shared" si="38"/>
        <v>30660</v>
      </c>
      <c r="K619" s="8" t="str">
        <f t="shared" si="39"/>
        <v/>
      </c>
    </row>
    <row r="620" spans="2:11" hidden="1">
      <c r="B620" s="7">
        <v>41475</v>
      </c>
      <c r="C620" s="3" t="s">
        <v>45</v>
      </c>
      <c r="D620" s="6" t="s">
        <v>15</v>
      </c>
      <c r="E620" s="3" t="s">
        <v>0</v>
      </c>
      <c r="F620" s="5">
        <v>11</v>
      </c>
      <c r="G620" s="5">
        <v>2310</v>
      </c>
      <c r="H620" s="8">
        <f t="shared" si="36"/>
        <v>25410</v>
      </c>
      <c r="I620" s="8">
        <f t="shared" si="37"/>
        <v>2540</v>
      </c>
      <c r="J620" s="8">
        <f t="shared" si="38"/>
        <v>27950</v>
      </c>
      <c r="K620" s="8" t="str">
        <f t="shared" si="39"/>
        <v/>
      </c>
    </row>
    <row r="621" spans="2:11" hidden="1">
      <c r="B621" s="7">
        <v>41475</v>
      </c>
      <c r="C621" s="3" t="s">
        <v>43</v>
      </c>
      <c r="D621" s="6" t="s">
        <v>22</v>
      </c>
      <c r="E621" s="3" t="s">
        <v>0</v>
      </c>
      <c r="F621" s="5">
        <v>21</v>
      </c>
      <c r="G621" s="5">
        <v>2810</v>
      </c>
      <c r="H621" s="8">
        <f t="shared" si="36"/>
        <v>59010</v>
      </c>
      <c r="I621" s="8">
        <f t="shared" si="37"/>
        <v>5900</v>
      </c>
      <c r="J621" s="8">
        <f t="shared" si="38"/>
        <v>64910</v>
      </c>
      <c r="K621" s="8" t="str">
        <f t="shared" si="39"/>
        <v/>
      </c>
    </row>
    <row r="622" spans="2:11">
      <c r="B622" s="7">
        <v>41476</v>
      </c>
      <c r="C622" s="3" t="s">
        <v>36</v>
      </c>
      <c r="D622" s="6" t="s">
        <v>19</v>
      </c>
      <c r="E622" s="3" t="s">
        <v>12</v>
      </c>
      <c r="F622" s="5">
        <v>5</v>
      </c>
      <c r="G622" s="5">
        <v>8450</v>
      </c>
      <c r="H622" s="8">
        <f t="shared" si="36"/>
        <v>42250</v>
      </c>
      <c r="I622" s="8">
        <f t="shared" si="37"/>
        <v>4220</v>
      </c>
      <c r="J622" s="8" t="str">
        <f t="shared" si="38"/>
        <v/>
      </c>
      <c r="K622" s="8">
        <f t="shared" si="39"/>
        <v>46470</v>
      </c>
    </row>
    <row r="623" spans="2:11">
      <c r="B623" s="7">
        <v>41476</v>
      </c>
      <c r="C623" s="3" t="s">
        <v>45</v>
      </c>
      <c r="D623" s="6" t="s">
        <v>18</v>
      </c>
      <c r="E623" s="3" t="s">
        <v>12</v>
      </c>
      <c r="F623" s="5">
        <v>32</v>
      </c>
      <c r="G623" s="5">
        <v>9990</v>
      </c>
      <c r="H623" s="8">
        <f t="shared" si="36"/>
        <v>319680</v>
      </c>
      <c r="I623" s="8">
        <f t="shared" si="37"/>
        <v>31960</v>
      </c>
      <c r="J623" s="8" t="str">
        <f t="shared" si="38"/>
        <v/>
      </c>
      <c r="K623" s="8">
        <f t="shared" si="39"/>
        <v>351640</v>
      </c>
    </row>
    <row r="624" spans="2:11" hidden="1">
      <c r="B624" s="7">
        <v>41476</v>
      </c>
      <c r="C624" s="3" t="s">
        <v>40</v>
      </c>
      <c r="D624" s="6" t="s">
        <v>17</v>
      </c>
      <c r="E624" s="3" t="s">
        <v>1</v>
      </c>
      <c r="F624" s="5">
        <v>30</v>
      </c>
      <c r="G624" s="5">
        <v>19310</v>
      </c>
      <c r="H624" s="8">
        <f t="shared" si="36"/>
        <v>579300</v>
      </c>
      <c r="I624" s="8">
        <f t="shared" si="37"/>
        <v>57930</v>
      </c>
      <c r="J624" s="8">
        <f t="shared" si="38"/>
        <v>637230</v>
      </c>
      <c r="K624" s="8" t="str">
        <f t="shared" si="39"/>
        <v/>
      </c>
    </row>
    <row r="625" spans="2:11">
      <c r="B625" s="7">
        <v>41477</v>
      </c>
      <c r="C625" s="3" t="s">
        <v>39</v>
      </c>
      <c r="D625" s="6" t="s">
        <v>11</v>
      </c>
      <c r="E625" s="3" t="s">
        <v>12</v>
      </c>
      <c r="F625" s="5">
        <v>10</v>
      </c>
      <c r="G625" s="5">
        <v>5690</v>
      </c>
      <c r="H625" s="8">
        <f t="shared" si="36"/>
        <v>56900</v>
      </c>
      <c r="I625" s="8">
        <f t="shared" si="37"/>
        <v>5690</v>
      </c>
      <c r="J625" s="8" t="str">
        <f t="shared" si="38"/>
        <v/>
      </c>
      <c r="K625" s="8">
        <f t="shared" si="39"/>
        <v>62590</v>
      </c>
    </row>
    <row r="626" spans="2:11">
      <c r="B626" s="7">
        <v>41477</v>
      </c>
      <c r="C626" s="3" t="s">
        <v>43</v>
      </c>
      <c r="D626" s="6" t="s">
        <v>23</v>
      </c>
      <c r="E626" s="3" t="s">
        <v>12</v>
      </c>
      <c r="F626" s="5">
        <v>24</v>
      </c>
      <c r="G626" s="5">
        <v>8080</v>
      </c>
      <c r="H626" s="8">
        <f t="shared" si="36"/>
        <v>193920</v>
      </c>
      <c r="I626" s="8">
        <f t="shared" si="37"/>
        <v>19390</v>
      </c>
      <c r="J626" s="8" t="str">
        <f t="shared" si="38"/>
        <v/>
      </c>
      <c r="K626" s="8">
        <f t="shared" si="39"/>
        <v>213310</v>
      </c>
    </row>
    <row r="627" spans="2:11">
      <c r="B627" s="7">
        <v>41477</v>
      </c>
      <c r="C627" s="3" t="s">
        <v>38</v>
      </c>
      <c r="D627" s="6" t="s">
        <v>20</v>
      </c>
      <c r="E627" s="3" t="s">
        <v>12</v>
      </c>
      <c r="F627" s="5">
        <v>23</v>
      </c>
      <c r="G627" s="5">
        <v>8920</v>
      </c>
      <c r="H627" s="8">
        <f t="shared" si="36"/>
        <v>205160</v>
      </c>
      <c r="I627" s="8">
        <f t="shared" si="37"/>
        <v>20510</v>
      </c>
      <c r="J627" s="8" t="str">
        <f t="shared" si="38"/>
        <v/>
      </c>
      <c r="K627" s="8">
        <f t="shared" si="39"/>
        <v>225670</v>
      </c>
    </row>
    <row r="628" spans="2:11">
      <c r="B628" s="7">
        <v>41477</v>
      </c>
      <c r="C628" s="3" t="s">
        <v>41</v>
      </c>
      <c r="D628" s="6" t="s">
        <v>27</v>
      </c>
      <c r="E628" s="3" t="s">
        <v>12</v>
      </c>
      <c r="F628" s="5">
        <v>41</v>
      </c>
      <c r="G628" s="5">
        <v>8950</v>
      </c>
      <c r="H628" s="8">
        <f t="shared" si="36"/>
        <v>366950</v>
      </c>
      <c r="I628" s="8">
        <f t="shared" si="37"/>
        <v>36690</v>
      </c>
      <c r="J628" s="8" t="str">
        <f t="shared" si="38"/>
        <v/>
      </c>
      <c r="K628" s="8">
        <f t="shared" si="39"/>
        <v>403640</v>
      </c>
    </row>
    <row r="629" spans="2:11" hidden="1">
      <c r="B629" s="7">
        <v>41477</v>
      </c>
      <c r="C629" s="3" t="s">
        <v>37</v>
      </c>
      <c r="D629" s="6" t="s">
        <v>19</v>
      </c>
      <c r="E629" s="3" t="s">
        <v>0</v>
      </c>
      <c r="F629" s="5">
        <v>43</v>
      </c>
      <c r="G629" s="5">
        <v>2560</v>
      </c>
      <c r="H629" s="8">
        <f t="shared" si="36"/>
        <v>110080</v>
      </c>
      <c r="I629" s="8">
        <f t="shared" si="37"/>
        <v>11000</v>
      </c>
      <c r="J629" s="8">
        <f t="shared" si="38"/>
        <v>121080</v>
      </c>
      <c r="K629" s="8" t="str">
        <f t="shared" si="39"/>
        <v/>
      </c>
    </row>
    <row r="630" spans="2:11" hidden="1">
      <c r="B630" s="7">
        <v>41477</v>
      </c>
      <c r="C630" s="3" t="s">
        <v>41</v>
      </c>
      <c r="D630" s="6" t="s">
        <v>15</v>
      </c>
      <c r="E630" s="3" t="s">
        <v>0</v>
      </c>
      <c r="F630" s="5">
        <v>40</v>
      </c>
      <c r="G630" s="5">
        <v>4560</v>
      </c>
      <c r="H630" s="8">
        <f t="shared" si="36"/>
        <v>182400</v>
      </c>
      <c r="I630" s="8">
        <f t="shared" si="37"/>
        <v>18240</v>
      </c>
      <c r="J630" s="8">
        <f t="shared" si="38"/>
        <v>200640</v>
      </c>
      <c r="K630" s="8" t="str">
        <f t="shared" si="39"/>
        <v/>
      </c>
    </row>
    <row r="631" spans="2:11" hidden="1">
      <c r="B631" s="7">
        <v>41477</v>
      </c>
      <c r="C631" s="3" t="s">
        <v>45</v>
      </c>
      <c r="D631" s="6" t="s">
        <v>25</v>
      </c>
      <c r="E631" s="3" t="s">
        <v>0</v>
      </c>
      <c r="F631" s="5">
        <v>30</v>
      </c>
      <c r="G631" s="5">
        <v>5960</v>
      </c>
      <c r="H631" s="8">
        <f t="shared" si="36"/>
        <v>178800</v>
      </c>
      <c r="I631" s="8">
        <f t="shared" si="37"/>
        <v>17880</v>
      </c>
      <c r="J631" s="8">
        <f t="shared" si="38"/>
        <v>196680</v>
      </c>
      <c r="K631" s="8" t="str">
        <f t="shared" si="39"/>
        <v/>
      </c>
    </row>
    <row r="632" spans="2:11">
      <c r="B632" s="7">
        <v>41478</v>
      </c>
      <c r="C632" s="3" t="s">
        <v>38</v>
      </c>
      <c r="D632" s="6" t="s">
        <v>19</v>
      </c>
      <c r="E632" s="3" t="s">
        <v>12</v>
      </c>
      <c r="F632" s="5">
        <v>39</v>
      </c>
      <c r="G632" s="5">
        <v>6070</v>
      </c>
      <c r="H632" s="8">
        <f t="shared" si="36"/>
        <v>236730</v>
      </c>
      <c r="I632" s="8">
        <f t="shared" si="37"/>
        <v>23670</v>
      </c>
      <c r="J632" s="8" t="str">
        <f t="shared" si="38"/>
        <v/>
      </c>
      <c r="K632" s="8">
        <f t="shared" si="39"/>
        <v>260400</v>
      </c>
    </row>
    <row r="633" spans="2:11">
      <c r="B633" s="7">
        <v>41478</v>
      </c>
      <c r="C633" s="3" t="s">
        <v>42</v>
      </c>
      <c r="D633" s="6" t="s">
        <v>15</v>
      </c>
      <c r="E633" s="3" t="s">
        <v>12</v>
      </c>
      <c r="F633" s="5">
        <v>34</v>
      </c>
      <c r="G633" s="5">
        <v>6190</v>
      </c>
      <c r="H633" s="8">
        <f t="shared" si="36"/>
        <v>210460</v>
      </c>
      <c r="I633" s="8">
        <f t="shared" si="37"/>
        <v>21040</v>
      </c>
      <c r="J633" s="8" t="str">
        <f t="shared" si="38"/>
        <v/>
      </c>
      <c r="K633" s="8">
        <f t="shared" si="39"/>
        <v>231500</v>
      </c>
    </row>
    <row r="634" spans="2:11" hidden="1">
      <c r="B634" s="7">
        <v>41478</v>
      </c>
      <c r="C634" s="3" t="s">
        <v>37</v>
      </c>
      <c r="D634" s="6" t="s">
        <v>22</v>
      </c>
      <c r="E634" s="3" t="s">
        <v>0</v>
      </c>
      <c r="F634" s="5">
        <v>31</v>
      </c>
      <c r="G634" s="5">
        <v>3900</v>
      </c>
      <c r="H634" s="8">
        <f t="shared" si="36"/>
        <v>120900</v>
      </c>
      <c r="I634" s="8">
        <f t="shared" si="37"/>
        <v>12090</v>
      </c>
      <c r="J634" s="8">
        <f t="shared" si="38"/>
        <v>132990</v>
      </c>
      <c r="K634" s="8" t="str">
        <f t="shared" si="39"/>
        <v/>
      </c>
    </row>
    <row r="635" spans="2:11">
      <c r="B635" s="7">
        <v>41479</v>
      </c>
      <c r="C635" s="3" t="s">
        <v>42</v>
      </c>
      <c r="D635" s="6" t="s">
        <v>19</v>
      </c>
      <c r="E635" s="3" t="s">
        <v>12</v>
      </c>
      <c r="F635" s="5">
        <v>12</v>
      </c>
      <c r="G635" s="5">
        <v>7570</v>
      </c>
      <c r="H635" s="8">
        <f t="shared" si="36"/>
        <v>90840</v>
      </c>
      <c r="I635" s="8">
        <f t="shared" si="37"/>
        <v>9080</v>
      </c>
      <c r="J635" s="8" t="str">
        <f t="shared" si="38"/>
        <v/>
      </c>
      <c r="K635" s="8">
        <f t="shared" si="39"/>
        <v>99920</v>
      </c>
    </row>
    <row r="636" spans="2:11">
      <c r="B636" s="7">
        <v>41479</v>
      </c>
      <c r="C636" s="3" t="s">
        <v>36</v>
      </c>
      <c r="D636" s="6" t="s">
        <v>21</v>
      </c>
      <c r="E636" s="3" t="s">
        <v>12</v>
      </c>
      <c r="F636" s="5">
        <v>44</v>
      </c>
      <c r="G636" s="5">
        <v>7950</v>
      </c>
      <c r="H636" s="8">
        <f t="shared" si="36"/>
        <v>349800</v>
      </c>
      <c r="I636" s="8">
        <f t="shared" si="37"/>
        <v>34980</v>
      </c>
      <c r="J636" s="8" t="str">
        <f t="shared" si="38"/>
        <v/>
      </c>
      <c r="K636" s="8">
        <f t="shared" si="39"/>
        <v>384780</v>
      </c>
    </row>
    <row r="637" spans="2:11" hidden="1">
      <c r="B637" s="7">
        <v>41479</v>
      </c>
      <c r="C637" s="3" t="s">
        <v>41</v>
      </c>
      <c r="D637" s="6" t="s">
        <v>18</v>
      </c>
      <c r="E637" s="3" t="s">
        <v>0</v>
      </c>
      <c r="F637" s="5">
        <v>37</v>
      </c>
      <c r="G637" s="5">
        <v>1690</v>
      </c>
      <c r="H637" s="8">
        <f t="shared" si="36"/>
        <v>62530</v>
      </c>
      <c r="I637" s="8">
        <f t="shared" si="37"/>
        <v>6250</v>
      </c>
      <c r="J637" s="8">
        <f t="shared" si="38"/>
        <v>68780</v>
      </c>
      <c r="K637" s="8" t="str">
        <f t="shared" si="39"/>
        <v/>
      </c>
    </row>
    <row r="638" spans="2:11" hidden="1">
      <c r="B638" s="7">
        <v>41480</v>
      </c>
      <c r="C638" s="3" t="s">
        <v>44</v>
      </c>
      <c r="D638" s="6" t="s">
        <v>23</v>
      </c>
      <c r="E638" s="3" t="s">
        <v>0</v>
      </c>
      <c r="F638" s="5">
        <v>20</v>
      </c>
      <c r="G638" s="5">
        <v>1930</v>
      </c>
      <c r="H638" s="8">
        <f t="shared" si="36"/>
        <v>38600</v>
      </c>
      <c r="I638" s="8">
        <f t="shared" si="37"/>
        <v>3860</v>
      </c>
      <c r="J638" s="8">
        <f t="shared" si="38"/>
        <v>42460</v>
      </c>
      <c r="K638" s="8" t="str">
        <f t="shared" si="39"/>
        <v/>
      </c>
    </row>
    <row r="639" spans="2:11" hidden="1">
      <c r="B639" s="7">
        <v>41481</v>
      </c>
      <c r="C639" s="3" t="s">
        <v>38</v>
      </c>
      <c r="D639" s="6" t="s">
        <v>25</v>
      </c>
      <c r="E639" s="3" t="s">
        <v>1</v>
      </c>
      <c r="F639" s="5">
        <v>33</v>
      </c>
      <c r="G639" s="5">
        <v>12640</v>
      </c>
      <c r="H639" s="8">
        <f t="shared" si="36"/>
        <v>417120</v>
      </c>
      <c r="I639" s="8">
        <f t="shared" si="37"/>
        <v>41710</v>
      </c>
      <c r="J639" s="8">
        <f t="shared" si="38"/>
        <v>458830</v>
      </c>
      <c r="K639" s="8" t="str">
        <f t="shared" si="39"/>
        <v/>
      </c>
    </row>
    <row r="640" spans="2:11" hidden="1">
      <c r="B640" s="7">
        <v>41481</v>
      </c>
      <c r="C640" s="3" t="s">
        <v>43</v>
      </c>
      <c r="D640" s="6" t="s">
        <v>27</v>
      </c>
      <c r="E640" s="3" t="s">
        <v>0</v>
      </c>
      <c r="F640" s="5">
        <v>48</v>
      </c>
      <c r="G640" s="5">
        <v>3810</v>
      </c>
      <c r="H640" s="8">
        <f t="shared" si="36"/>
        <v>182880</v>
      </c>
      <c r="I640" s="8">
        <f t="shared" si="37"/>
        <v>18280</v>
      </c>
      <c r="J640" s="8">
        <f t="shared" si="38"/>
        <v>201160</v>
      </c>
      <c r="K640" s="8" t="str">
        <f t="shared" si="39"/>
        <v/>
      </c>
    </row>
    <row r="641" spans="2:11" hidden="1">
      <c r="B641" s="7">
        <v>41481</v>
      </c>
      <c r="C641" s="3" t="s">
        <v>39</v>
      </c>
      <c r="D641" s="6" t="s">
        <v>16</v>
      </c>
      <c r="E641" s="3" t="s">
        <v>0</v>
      </c>
      <c r="F641" s="5">
        <v>17</v>
      </c>
      <c r="G641" s="5">
        <v>4320</v>
      </c>
      <c r="H641" s="8">
        <f t="shared" si="36"/>
        <v>73440</v>
      </c>
      <c r="I641" s="8">
        <f t="shared" si="37"/>
        <v>7340</v>
      </c>
      <c r="J641" s="8">
        <f t="shared" si="38"/>
        <v>80780</v>
      </c>
      <c r="K641" s="8" t="str">
        <f t="shared" si="39"/>
        <v/>
      </c>
    </row>
    <row r="642" spans="2:11">
      <c r="B642" s="7">
        <v>41482</v>
      </c>
      <c r="C642" s="3" t="s">
        <v>38</v>
      </c>
      <c r="D642" s="6" t="s">
        <v>20</v>
      </c>
      <c r="E642" s="3" t="s">
        <v>12</v>
      </c>
      <c r="F642" s="5">
        <v>27</v>
      </c>
      <c r="G642" s="5">
        <v>7450</v>
      </c>
      <c r="H642" s="8">
        <f t="shared" si="36"/>
        <v>201150</v>
      </c>
      <c r="I642" s="8">
        <f t="shared" si="37"/>
        <v>20110</v>
      </c>
      <c r="J642" s="8" t="str">
        <f t="shared" si="38"/>
        <v/>
      </c>
      <c r="K642" s="8">
        <f t="shared" si="39"/>
        <v>221260</v>
      </c>
    </row>
    <row r="643" spans="2:11">
      <c r="B643" s="7">
        <v>41483</v>
      </c>
      <c r="C643" s="3" t="s">
        <v>37</v>
      </c>
      <c r="D643" s="6" t="s">
        <v>21</v>
      </c>
      <c r="E643" s="3" t="s">
        <v>12</v>
      </c>
      <c r="F643" s="5">
        <v>23</v>
      </c>
      <c r="G643" s="5">
        <v>7070</v>
      </c>
      <c r="H643" s="8">
        <f t="shared" si="36"/>
        <v>162610</v>
      </c>
      <c r="I643" s="8">
        <f t="shared" si="37"/>
        <v>16260</v>
      </c>
      <c r="J643" s="8" t="str">
        <f t="shared" si="38"/>
        <v/>
      </c>
      <c r="K643" s="8">
        <f t="shared" si="39"/>
        <v>178870</v>
      </c>
    </row>
    <row r="644" spans="2:11">
      <c r="B644" s="7">
        <v>41483</v>
      </c>
      <c r="C644" s="3" t="s">
        <v>36</v>
      </c>
      <c r="D644" s="6" t="s">
        <v>22</v>
      </c>
      <c r="E644" s="3" t="s">
        <v>12</v>
      </c>
      <c r="F644" s="5">
        <v>7</v>
      </c>
      <c r="G644" s="5">
        <v>9580</v>
      </c>
      <c r="H644" s="8">
        <f t="shared" si="36"/>
        <v>67060</v>
      </c>
      <c r="I644" s="8">
        <f t="shared" si="37"/>
        <v>6700</v>
      </c>
      <c r="J644" s="8" t="str">
        <f t="shared" si="38"/>
        <v/>
      </c>
      <c r="K644" s="8">
        <f t="shared" si="39"/>
        <v>73760</v>
      </c>
    </row>
    <row r="645" spans="2:11">
      <c r="B645" s="7">
        <v>41484</v>
      </c>
      <c r="C645" s="3" t="s">
        <v>41</v>
      </c>
      <c r="D645" s="6" t="s">
        <v>27</v>
      </c>
      <c r="E645" s="3" t="s">
        <v>12</v>
      </c>
      <c r="F645" s="5">
        <v>28</v>
      </c>
      <c r="G645" s="5">
        <v>8450</v>
      </c>
      <c r="H645" s="8">
        <f t="shared" si="36"/>
        <v>236600</v>
      </c>
      <c r="I645" s="8">
        <f t="shared" si="37"/>
        <v>23660</v>
      </c>
      <c r="J645" s="8" t="str">
        <f t="shared" si="38"/>
        <v/>
      </c>
      <c r="K645" s="8">
        <f t="shared" si="39"/>
        <v>260260</v>
      </c>
    </row>
    <row r="646" spans="2:11" hidden="1">
      <c r="B646" s="7">
        <v>41484</v>
      </c>
      <c r="C646" s="3" t="s">
        <v>37</v>
      </c>
      <c r="D646" s="6" t="s">
        <v>11</v>
      </c>
      <c r="E646" s="3" t="s">
        <v>0</v>
      </c>
      <c r="F646" s="5">
        <v>47</v>
      </c>
      <c r="G646" s="5">
        <v>3400</v>
      </c>
      <c r="H646" s="8">
        <f t="shared" si="36"/>
        <v>159800</v>
      </c>
      <c r="I646" s="8">
        <f t="shared" si="37"/>
        <v>15980</v>
      </c>
      <c r="J646" s="8">
        <f t="shared" si="38"/>
        <v>175780</v>
      </c>
      <c r="K646" s="8" t="str">
        <f t="shared" si="39"/>
        <v/>
      </c>
    </row>
    <row r="647" spans="2:11" hidden="1">
      <c r="B647" s="7">
        <v>41484</v>
      </c>
      <c r="C647" s="3" t="s">
        <v>39</v>
      </c>
      <c r="D647" s="6" t="s">
        <v>29</v>
      </c>
      <c r="E647" s="3" t="s">
        <v>0</v>
      </c>
      <c r="F647" s="5">
        <v>48</v>
      </c>
      <c r="G647" s="5">
        <v>1430</v>
      </c>
      <c r="H647" s="8">
        <f t="shared" si="36"/>
        <v>68640</v>
      </c>
      <c r="I647" s="8">
        <f t="shared" si="37"/>
        <v>6860</v>
      </c>
      <c r="J647" s="8">
        <f t="shared" si="38"/>
        <v>75500</v>
      </c>
      <c r="K647" s="8" t="str">
        <f t="shared" si="39"/>
        <v/>
      </c>
    </row>
    <row r="648" spans="2:11" hidden="1">
      <c r="B648" s="7">
        <v>41484</v>
      </c>
      <c r="C648" s="3" t="s">
        <v>39</v>
      </c>
      <c r="D648" s="6" t="s">
        <v>15</v>
      </c>
      <c r="E648" s="3" t="s">
        <v>0</v>
      </c>
      <c r="F648" s="5">
        <v>8</v>
      </c>
      <c r="G648" s="5">
        <v>2060</v>
      </c>
      <c r="H648" s="8">
        <f t="shared" si="36"/>
        <v>16480</v>
      </c>
      <c r="I648" s="8">
        <f t="shared" si="37"/>
        <v>1640</v>
      </c>
      <c r="J648" s="8">
        <f t="shared" si="38"/>
        <v>18120</v>
      </c>
      <c r="K648" s="8" t="str">
        <f t="shared" si="39"/>
        <v/>
      </c>
    </row>
    <row r="649" spans="2:11">
      <c r="B649" s="7">
        <v>41485</v>
      </c>
      <c r="C649" s="3" t="s">
        <v>42</v>
      </c>
      <c r="D649" s="6" t="s">
        <v>22</v>
      </c>
      <c r="E649" s="3" t="s">
        <v>12</v>
      </c>
      <c r="F649" s="5">
        <v>32</v>
      </c>
      <c r="G649" s="5">
        <v>8450</v>
      </c>
      <c r="H649" s="8">
        <f t="shared" si="36"/>
        <v>270400</v>
      </c>
      <c r="I649" s="8">
        <f t="shared" si="37"/>
        <v>27040</v>
      </c>
      <c r="J649" s="8" t="str">
        <f t="shared" si="38"/>
        <v/>
      </c>
      <c r="K649" s="8">
        <f t="shared" si="39"/>
        <v>297440</v>
      </c>
    </row>
    <row r="650" spans="2:11" hidden="1">
      <c r="B650" s="7">
        <v>41485</v>
      </c>
      <c r="C650" s="3" t="s">
        <v>41</v>
      </c>
      <c r="D650" s="6" t="s">
        <v>25</v>
      </c>
      <c r="E650" s="3" t="s">
        <v>1</v>
      </c>
      <c r="F650" s="5">
        <v>45</v>
      </c>
      <c r="G650" s="5">
        <v>11150</v>
      </c>
      <c r="H650" s="8">
        <f t="shared" si="36"/>
        <v>501750</v>
      </c>
      <c r="I650" s="8">
        <f t="shared" si="37"/>
        <v>50170</v>
      </c>
      <c r="J650" s="8">
        <f t="shared" si="38"/>
        <v>551920</v>
      </c>
      <c r="K650" s="8" t="str">
        <f t="shared" si="39"/>
        <v/>
      </c>
    </row>
    <row r="651" spans="2:11" hidden="1">
      <c r="B651" s="7">
        <v>41485</v>
      </c>
      <c r="C651" s="3" t="s">
        <v>44</v>
      </c>
      <c r="D651" s="6" t="s">
        <v>13</v>
      </c>
      <c r="E651" s="3" t="s">
        <v>0</v>
      </c>
      <c r="F651" s="5">
        <v>37</v>
      </c>
      <c r="G651" s="5">
        <v>2890</v>
      </c>
      <c r="H651" s="8">
        <f t="shared" si="36"/>
        <v>106930</v>
      </c>
      <c r="I651" s="8">
        <f t="shared" si="37"/>
        <v>10690</v>
      </c>
      <c r="J651" s="8">
        <f t="shared" si="38"/>
        <v>117620</v>
      </c>
      <c r="K651" s="8" t="str">
        <f t="shared" si="39"/>
        <v/>
      </c>
    </row>
    <row r="652" spans="2:11" hidden="1">
      <c r="B652" s="7">
        <v>41485</v>
      </c>
      <c r="C652" s="3" t="s">
        <v>38</v>
      </c>
      <c r="D652" s="6" t="s">
        <v>11</v>
      </c>
      <c r="E652" s="3" t="s">
        <v>0</v>
      </c>
      <c r="F652" s="5">
        <v>41</v>
      </c>
      <c r="G652" s="5">
        <v>4190</v>
      </c>
      <c r="H652" s="8">
        <f t="shared" si="36"/>
        <v>171790</v>
      </c>
      <c r="I652" s="8">
        <f t="shared" si="37"/>
        <v>17170</v>
      </c>
      <c r="J652" s="8">
        <f t="shared" si="38"/>
        <v>188960</v>
      </c>
      <c r="K652" s="8" t="str">
        <f t="shared" si="39"/>
        <v/>
      </c>
    </row>
    <row r="653" spans="2:11" hidden="1">
      <c r="B653" s="7">
        <v>41485</v>
      </c>
      <c r="C653" s="3" t="s">
        <v>39</v>
      </c>
      <c r="D653" s="6" t="s">
        <v>28</v>
      </c>
      <c r="E653" s="3" t="s">
        <v>0</v>
      </c>
      <c r="F653" s="5">
        <v>26</v>
      </c>
      <c r="G653" s="5">
        <v>6550</v>
      </c>
      <c r="H653" s="8">
        <f t="shared" ref="H653:H716" si="40">F653*G653</f>
        <v>170300</v>
      </c>
      <c r="I653" s="8">
        <f t="shared" ref="I653:I716" si="41">TRUNC(H653*10%,-1)</f>
        <v>17030</v>
      </c>
      <c r="J653" s="8">
        <f t="shared" ref="J653:J716" si="42">IF(E653="매입",H653+I653,"")</f>
        <v>187330</v>
      </c>
      <c r="K653" s="8" t="str">
        <f t="shared" ref="K653:K716" si="43">IF(E653="매출",H653+I653,"")</f>
        <v/>
      </c>
    </row>
    <row r="654" spans="2:11">
      <c r="B654" s="7">
        <v>41486</v>
      </c>
      <c r="C654" s="3" t="s">
        <v>36</v>
      </c>
      <c r="D654" s="6" t="s">
        <v>21</v>
      </c>
      <c r="E654" s="3" t="s">
        <v>12</v>
      </c>
      <c r="F654" s="5">
        <v>47</v>
      </c>
      <c r="G654" s="5">
        <v>7200</v>
      </c>
      <c r="H654" s="8">
        <f t="shared" si="40"/>
        <v>338400</v>
      </c>
      <c r="I654" s="8">
        <f t="shared" si="41"/>
        <v>33840</v>
      </c>
      <c r="J654" s="8" t="str">
        <f t="shared" si="42"/>
        <v/>
      </c>
      <c r="K654" s="8">
        <f t="shared" si="43"/>
        <v>372240</v>
      </c>
    </row>
    <row r="655" spans="2:11">
      <c r="B655" s="7">
        <v>41487</v>
      </c>
      <c r="C655" s="3" t="s">
        <v>39</v>
      </c>
      <c r="D655" s="6" t="s">
        <v>26</v>
      </c>
      <c r="E655" s="3" t="s">
        <v>12</v>
      </c>
      <c r="F655" s="5">
        <v>13</v>
      </c>
      <c r="G655" s="5">
        <v>5690</v>
      </c>
      <c r="H655" s="8">
        <f t="shared" si="40"/>
        <v>73970</v>
      </c>
      <c r="I655" s="8">
        <f t="shared" si="41"/>
        <v>7390</v>
      </c>
      <c r="J655" s="8" t="str">
        <f t="shared" si="42"/>
        <v/>
      </c>
      <c r="K655" s="8">
        <f t="shared" si="43"/>
        <v>81360</v>
      </c>
    </row>
    <row r="656" spans="2:11">
      <c r="B656" s="7">
        <v>41487</v>
      </c>
      <c r="C656" s="3" t="s">
        <v>43</v>
      </c>
      <c r="D656" s="6" t="s">
        <v>15</v>
      </c>
      <c r="E656" s="3" t="s">
        <v>12</v>
      </c>
      <c r="F656" s="5">
        <v>32</v>
      </c>
      <c r="G656" s="5">
        <v>7950</v>
      </c>
      <c r="H656" s="8">
        <f t="shared" si="40"/>
        <v>254400</v>
      </c>
      <c r="I656" s="8">
        <f t="shared" si="41"/>
        <v>25440</v>
      </c>
      <c r="J656" s="8" t="str">
        <f t="shared" si="42"/>
        <v/>
      </c>
      <c r="K656" s="8">
        <f t="shared" si="43"/>
        <v>279840</v>
      </c>
    </row>
    <row r="657" spans="2:11" hidden="1">
      <c r="B657" s="7">
        <v>41487</v>
      </c>
      <c r="C657" s="3" t="s">
        <v>39</v>
      </c>
      <c r="D657" s="6" t="s">
        <v>25</v>
      </c>
      <c r="E657" s="3" t="s">
        <v>0</v>
      </c>
      <c r="F657" s="5">
        <v>11</v>
      </c>
      <c r="G657" s="5">
        <v>1350</v>
      </c>
      <c r="H657" s="8">
        <f t="shared" si="40"/>
        <v>14850</v>
      </c>
      <c r="I657" s="8">
        <f t="shared" si="41"/>
        <v>1480</v>
      </c>
      <c r="J657" s="8">
        <f t="shared" si="42"/>
        <v>16330</v>
      </c>
      <c r="K657" s="8" t="str">
        <f t="shared" si="43"/>
        <v/>
      </c>
    </row>
    <row r="658" spans="2:11">
      <c r="B658" s="7">
        <v>41488</v>
      </c>
      <c r="C658" s="3" t="s">
        <v>45</v>
      </c>
      <c r="D658" s="6" t="s">
        <v>29</v>
      </c>
      <c r="E658" s="3" t="s">
        <v>12</v>
      </c>
      <c r="F658" s="5">
        <v>19</v>
      </c>
      <c r="G658" s="5">
        <v>6190</v>
      </c>
      <c r="H658" s="8">
        <f t="shared" si="40"/>
        <v>117610</v>
      </c>
      <c r="I658" s="8">
        <f t="shared" si="41"/>
        <v>11760</v>
      </c>
      <c r="J658" s="8" t="str">
        <f t="shared" si="42"/>
        <v/>
      </c>
      <c r="K658" s="8">
        <f t="shared" si="43"/>
        <v>129370</v>
      </c>
    </row>
    <row r="659" spans="2:11" hidden="1">
      <c r="B659" s="7">
        <v>41488</v>
      </c>
      <c r="C659" s="3" t="s">
        <v>37</v>
      </c>
      <c r="D659" s="6" t="s">
        <v>20</v>
      </c>
      <c r="E659" s="3" t="s">
        <v>1</v>
      </c>
      <c r="F659" s="5">
        <v>48</v>
      </c>
      <c r="G659" s="5">
        <v>9190</v>
      </c>
      <c r="H659" s="8">
        <f t="shared" si="40"/>
        <v>441120</v>
      </c>
      <c r="I659" s="8">
        <f t="shared" si="41"/>
        <v>44110</v>
      </c>
      <c r="J659" s="8">
        <f t="shared" si="42"/>
        <v>485230</v>
      </c>
      <c r="K659" s="8" t="str">
        <f t="shared" si="43"/>
        <v/>
      </c>
    </row>
    <row r="660" spans="2:11">
      <c r="B660" s="7">
        <v>41488</v>
      </c>
      <c r="C660" s="3" t="s">
        <v>41</v>
      </c>
      <c r="D660" s="6" t="s">
        <v>29</v>
      </c>
      <c r="E660" s="3" t="s">
        <v>12</v>
      </c>
      <c r="F660" s="5">
        <v>33</v>
      </c>
      <c r="G660" s="5">
        <v>9830</v>
      </c>
      <c r="H660" s="8">
        <f t="shared" si="40"/>
        <v>324390</v>
      </c>
      <c r="I660" s="8">
        <f t="shared" si="41"/>
        <v>32430</v>
      </c>
      <c r="J660" s="8" t="str">
        <f t="shared" si="42"/>
        <v/>
      </c>
      <c r="K660" s="8">
        <f t="shared" si="43"/>
        <v>356820</v>
      </c>
    </row>
    <row r="661" spans="2:11">
      <c r="B661" s="7">
        <v>41489</v>
      </c>
      <c r="C661" s="3" t="s">
        <v>43</v>
      </c>
      <c r="D661" s="6" t="s">
        <v>23</v>
      </c>
      <c r="E661" s="3" t="s">
        <v>12</v>
      </c>
      <c r="F661" s="5">
        <v>11</v>
      </c>
      <c r="G661" s="5">
        <v>6820</v>
      </c>
      <c r="H661" s="8">
        <f t="shared" si="40"/>
        <v>75020</v>
      </c>
      <c r="I661" s="8">
        <f t="shared" si="41"/>
        <v>7500</v>
      </c>
      <c r="J661" s="8" t="str">
        <f t="shared" si="42"/>
        <v/>
      </c>
      <c r="K661" s="8">
        <f t="shared" si="43"/>
        <v>82520</v>
      </c>
    </row>
    <row r="662" spans="2:11">
      <c r="B662" s="7">
        <v>41489</v>
      </c>
      <c r="C662" s="3" t="s">
        <v>40</v>
      </c>
      <c r="D662" s="6" t="s">
        <v>29</v>
      </c>
      <c r="E662" s="3" t="s">
        <v>12</v>
      </c>
      <c r="F662" s="5">
        <v>16</v>
      </c>
      <c r="G662" s="5">
        <v>9580</v>
      </c>
      <c r="H662" s="8">
        <f t="shared" si="40"/>
        <v>153280</v>
      </c>
      <c r="I662" s="8">
        <f t="shared" si="41"/>
        <v>15320</v>
      </c>
      <c r="J662" s="8" t="str">
        <f t="shared" si="42"/>
        <v/>
      </c>
      <c r="K662" s="8">
        <f t="shared" si="43"/>
        <v>168600</v>
      </c>
    </row>
    <row r="663" spans="2:11" hidden="1">
      <c r="B663" s="7">
        <v>41489</v>
      </c>
      <c r="C663" s="3" t="s">
        <v>40</v>
      </c>
      <c r="D663" s="6" t="s">
        <v>20</v>
      </c>
      <c r="E663" s="3" t="s">
        <v>0</v>
      </c>
      <c r="F663" s="5">
        <v>17</v>
      </c>
      <c r="G663" s="5">
        <v>3600</v>
      </c>
      <c r="H663" s="8">
        <f t="shared" si="40"/>
        <v>61200</v>
      </c>
      <c r="I663" s="8">
        <f t="shared" si="41"/>
        <v>6120</v>
      </c>
      <c r="J663" s="8">
        <f t="shared" si="42"/>
        <v>67320</v>
      </c>
      <c r="K663" s="8" t="str">
        <f t="shared" si="43"/>
        <v/>
      </c>
    </row>
    <row r="664" spans="2:11" hidden="1">
      <c r="B664" s="7">
        <v>41490</v>
      </c>
      <c r="C664" s="3" t="s">
        <v>39</v>
      </c>
      <c r="D664" s="6" t="s">
        <v>28</v>
      </c>
      <c r="E664" s="3" t="s">
        <v>0</v>
      </c>
      <c r="F664" s="5">
        <v>20</v>
      </c>
      <c r="G664" s="5">
        <v>4620</v>
      </c>
      <c r="H664" s="8">
        <f t="shared" si="40"/>
        <v>92400</v>
      </c>
      <c r="I664" s="8">
        <f t="shared" si="41"/>
        <v>9240</v>
      </c>
      <c r="J664" s="8">
        <f t="shared" si="42"/>
        <v>101640</v>
      </c>
      <c r="K664" s="8" t="str">
        <f t="shared" si="43"/>
        <v/>
      </c>
    </row>
    <row r="665" spans="2:11" hidden="1">
      <c r="B665" s="7">
        <v>41491</v>
      </c>
      <c r="C665" s="3" t="s">
        <v>38</v>
      </c>
      <c r="D665" s="6" t="s">
        <v>15</v>
      </c>
      <c r="E665" s="3" t="s">
        <v>0</v>
      </c>
      <c r="F665" s="5">
        <v>36</v>
      </c>
      <c r="G665" s="5">
        <v>3400</v>
      </c>
      <c r="H665" s="8">
        <f t="shared" si="40"/>
        <v>122400</v>
      </c>
      <c r="I665" s="8">
        <f t="shared" si="41"/>
        <v>12240</v>
      </c>
      <c r="J665" s="8">
        <f t="shared" si="42"/>
        <v>134640</v>
      </c>
      <c r="K665" s="8" t="str">
        <f t="shared" si="43"/>
        <v/>
      </c>
    </row>
    <row r="666" spans="2:11">
      <c r="B666" s="7">
        <v>41492</v>
      </c>
      <c r="C666" s="3" t="s">
        <v>36</v>
      </c>
      <c r="D666" s="6" t="s">
        <v>11</v>
      </c>
      <c r="E666" s="3" t="s">
        <v>12</v>
      </c>
      <c r="F666" s="5">
        <v>21</v>
      </c>
      <c r="G666" s="5">
        <v>6190</v>
      </c>
      <c r="H666" s="8">
        <f t="shared" si="40"/>
        <v>129990</v>
      </c>
      <c r="I666" s="8">
        <f t="shared" si="41"/>
        <v>12990</v>
      </c>
      <c r="J666" s="8" t="str">
        <f t="shared" si="42"/>
        <v/>
      </c>
      <c r="K666" s="8">
        <f t="shared" si="43"/>
        <v>142980</v>
      </c>
    </row>
    <row r="667" spans="2:11">
      <c r="B667" s="7">
        <v>41492</v>
      </c>
      <c r="C667" s="3" t="s">
        <v>37</v>
      </c>
      <c r="D667" s="6" t="s">
        <v>27</v>
      </c>
      <c r="E667" s="3" t="s">
        <v>12</v>
      </c>
      <c r="F667" s="5">
        <v>21</v>
      </c>
      <c r="G667" s="5">
        <v>7200</v>
      </c>
      <c r="H667" s="8">
        <f t="shared" si="40"/>
        <v>151200</v>
      </c>
      <c r="I667" s="8">
        <f t="shared" si="41"/>
        <v>15120</v>
      </c>
      <c r="J667" s="8" t="str">
        <f t="shared" si="42"/>
        <v/>
      </c>
      <c r="K667" s="8">
        <f t="shared" si="43"/>
        <v>166320</v>
      </c>
    </row>
    <row r="668" spans="2:11" hidden="1">
      <c r="B668" s="7">
        <v>41492</v>
      </c>
      <c r="C668" s="3" t="s">
        <v>38</v>
      </c>
      <c r="D668" s="6" t="s">
        <v>29</v>
      </c>
      <c r="E668" s="3" t="s">
        <v>0</v>
      </c>
      <c r="F668" s="5">
        <v>39</v>
      </c>
      <c r="G668" s="5">
        <v>3650</v>
      </c>
      <c r="H668" s="8">
        <f t="shared" si="40"/>
        <v>142350</v>
      </c>
      <c r="I668" s="8">
        <f t="shared" si="41"/>
        <v>14230</v>
      </c>
      <c r="J668" s="8">
        <f t="shared" si="42"/>
        <v>156580</v>
      </c>
      <c r="K668" s="8" t="str">
        <f t="shared" si="43"/>
        <v/>
      </c>
    </row>
    <row r="669" spans="2:11" hidden="1">
      <c r="B669" s="7">
        <v>41492</v>
      </c>
      <c r="C669" s="3" t="s">
        <v>37</v>
      </c>
      <c r="D669" s="6" t="s">
        <v>23</v>
      </c>
      <c r="E669" s="3" t="s">
        <v>0</v>
      </c>
      <c r="F669" s="5">
        <v>9</v>
      </c>
      <c r="G669" s="5">
        <v>3770</v>
      </c>
      <c r="H669" s="8">
        <f t="shared" si="40"/>
        <v>33930</v>
      </c>
      <c r="I669" s="8">
        <f t="shared" si="41"/>
        <v>3390</v>
      </c>
      <c r="J669" s="8">
        <f t="shared" si="42"/>
        <v>37320</v>
      </c>
      <c r="K669" s="8" t="str">
        <f t="shared" si="43"/>
        <v/>
      </c>
    </row>
    <row r="670" spans="2:11" hidden="1">
      <c r="B670" s="7">
        <v>41492</v>
      </c>
      <c r="C670" s="3" t="s">
        <v>39</v>
      </c>
      <c r="D670" s="6" t="s">
        <v>22</v>
      </c>
      <c r="E670" s="3" t="s">
        <v>0</v>
      </c>
      <c r="F670" s="5">
        <v>33</v>
      </c>
      <c r="G670" s="5">
        <v>1680</v>
      </c>
      <c r="H670" s="8">
        <f t="shared" si="40"/>
        <v>55440</v>
      </c>
      <c r="I670" s="8">
        <f t="shared" si="41"/>
        <v>5540</v>
      </c>
      <c r="J670" s="8">
        <f t="shared" si="42"/>
        <v>60980</v>
      </c>
      <c r="K670" s="8" t="str">
        <f t="shared" si="43"/>
        <v/>
      </c>
    </row>
    <row r="671" spans="2:11" hidden="1">
      <c r="B671" s="7">
        <v>41492</v>
      </c>
      <c r="C671" s="3" t="s">
        <v>42</v>
      </c>
      <c r="D671" s="6" t="s">
        <v>22</v>
      </c>
      <c r="E671" s="3" t="s">
        <v>0</v>
      </c>
      <c r="F671" s="5">
        <v>43</v>
      </c>
      <c r="G671" s="5">
        <v>1810</v>
      </c>
      <c r="H671" s="8">
        <f t="shared" si="40"/>
        <v>77830</v>
      </c>
      <c r="I671" s="8">
        <f t="shared" si="41"/>
        <v>7780</v>
      </c>
      <c r="J671" s="8">
        <f t="shared" si="42"/>
        <v>85610</v>
      </c>
      <c r="K671" s="8" t="str">
        <f t="shared" si="43"/>
        <v/>
      </c>
    </row>
    <row r="672" spans="2:11" hidden="1">
      <c r="B672" s="7">
        <v>41492</v>
      </c>
      <c r="C672" s="3" t="s">
        <v>44</v>
      </c>
      <c r="D672" s="6" t="s">
        <v>20</v>
      </c>
      <c r="E672" s="3" t="s">
        <v>0</v>
      </c>
      <c r="F672" s="5">
        <v>7</v>
      </c>
      <c r="G672" s="5">
        <v>2760</v>
      </c>
      <c r="H672" s="8">
        <f t="shared" si="40"/>
        <v>19320</v>
      </c>
      <c r="I672" s="8">
        <f t="shared" si="41"/>
        <v>1930</v>
      </c>
      <c r="J672" s="8">
        <f t="shared" si="42"/>
        <v>21250</v>
      </c>
      <c r="K672" s="8" t="str">
        <f t="shared" si="43"/>
        <v/>
      </c>
    </row>
    <row r="673" spans="2:11" hidden="1">
      <c r="B673" s="7">
        <v>41493</v>
      </c>
      <c r="C673" s="3" t="s">
        <v>37</v>
      </c>
      <c r="D673" s="6" t="s">
        <v>15</v>
      </c>
      <c r="E673" s="3" t="s">
        <v>0</v>
      </c>
      <c r="F673" s="5">
        <v>50</v>
      </c>
      <c r="G673" s="5">
        <v>2900</v>
      </c>
      <c r="H673" s="8">
        <f t="shared" si="40"/>
        <v>145000</v>
      </c>
      <c r="I673" s="8">
        <f t="shared" si="41"/>
        <v>14500</v>
      </c>
      <c r="J673" s="8">
        <f t="shared" si="42"/>
        <v>159500</v>
      </c>
      <c r="K673" s="8" t="str">
        <f t="shared" si="43"/>
        <v/>
      </c>
    </row>
    <row r="674" spans="2:11" hidden="1">
      <c r="B674" s="7">
        <v>41493</v>
      </c>
      <c r="C674" s="3" t="s">
        <v>42</v>
      </c>
      <c r="D674" s="6" t="s">
        <v>15</v>
      </c>
      <c r="E674" s="3" t="s">
        <v>0</v>
      </c>
      <c r="F674" s="5">
        <v>31</v>
      </c>
      <c r="G674" s="5">
        <v>1430</v>
      </c>
      <c r="H674" s="8">
        <f t="shared" si="40"/>
        <v>44330</v>
      </c>
      <c r="I674" s="8">
        <f t="shared" si="41"/>
        <v>4430</v>
      </c>
      <c r="J674" s="8">
        <f t="shared" si="42"/>
        <v>48760</v>
      </c>
      <c r="K674" s="8" t="str">
        <f t="shared" si="43"/>
        <v/>
      </c>
    </row>
    <row r="675" spans="2:11" hidden="1">
      <c r="B675" s="7">
        <v>41493</v>
      </c>
      <c r="C675" s="3" t="s">
        <v>37</v>
      </c>
      <c r="D675" s="6" t="s">
        <v>16</v>
      </c>
      <c r="E675" s="3" t="s">
        <v>0</v>
      </c>
      <c r="F675" s="5">
        <v>16</v>
      </c>
      <c r="G675" s="5">
        <v>4920</v>
      </c>
      <c r="H675" s="8">
        <f t="shared" si="40"/>
        <v>78720</v>
      </c>
      <c r="I675" s="8">
        <f t="shared" si="41"/>
        <v>7870</v>
      </c>
      <c r="J675" s="8">
        <f t="shared" si="42"/>
        <v>86590</v>
      </c>
      <c r="K675" s="8" t="str">
        <f t="shared" si="43"/>
        <v/>
      </c>
    </row>
    <row r="676" spans="2:11">
      <c r="B676" s="7">
        <v>41494</v>
      </c>
      <c r="C676" s="3" t="s">
        <v>38</v>
      </c>
      <c r="D676" s="6" t="s">
        <v>28</v>
      </c>
      <c r="E676" s="3" t="s">
        <v>12</v>
      </c>
      <c r="F676" s="5">
        <v>19</v>
      </c>
      <c r="G676" s="5">
        <v>9970</v>
      </c>
      <c r="H676" s="8">
        <f t="shared" si="40"/>
        <v>189430</v>
      </c>
      <c r="I676" s="8">
        <f t="shared" si="41"/>
        <v>18940</v>
      </c>
      <c r="J676" s="8" t="str">
        <f t="shared" si="42"/>
        <v/>
      </c>
      <c r="K676" s="8">
        <f t="shared" si="43"/>
        <v>208370</v>
      </c>
    </row>
    <row r="677" spans="2:11" hidden="1">
      <c r="B677" s="7">
        <v>41494</v>
      </c>
      <c r="C677" s="3" t="s">
        <v>44</v>
      </c>
      <c r="D677" s="6" t="s">
        <v>13</v>
      </c>
      <c r="E677" s="3" t="s">
        <v>0</v>
      </c>
      <c r="F677" s="5">
        <v>41</v>
      </c>
      <c r="G677" s="5">
        <v>3700</v>
      </c>
      <c r="H677" s="8">
        <f t="shared" si="40"/>
        <v>151700</v>
      </c>
      <c r="I677" s="8">
        <f t="shared" si="41"/>
        <v>15170</v>
      </c>
      <c r="J677" s="8">
        <f t="shared" si="42"/>
        <v>166870</v>
      </c>
      <c r="K677" s="8" t="str">
        <f t="shared" si="43"/>
        <v/>
      </c>
    </row>
    <row r="678" spans="2:11" hidden="1">
      <c r="B678" s="7">
        <v>41494</v>
      </c>
      <c r="C678" s="3" t="s">
        <v>36</v>
      </c>
      <c r="D678" s="6" t="s">
        <v>22</v>
      </c>
      <c r="E678" s="3" t="s">
        <v>0</v>
      </c>
      <c r="F678" s="5">
        <v>18</v>
      </c>
      <c r="G678" s="5">
        <v>4820</v>
      </c>
      <c r="H678" s="8">
        <f t="shared" si="40"/>
        <v>86760</v>
      </c>
      <c r="I678" s="8">
        <f t="shared" si="41"/>
        <v>8670</v>
      </c>
      <c r="J678" s="8">
        <f t="shared" si="42"/>
        <v>95430</v>
      </c>
      <c r="K678" s="8" t="str">
        <f t="shared" si="43"/>
        <v/>
      </c>
    </row>
    <row r="679" spans="2:11">
      <c r="B679" s="7">
        <v>41496</v>
      </c>
      <c r="C679" s="3" t="s">
        <v>40</v>
      </c>
      <c r="D679" s="6" t="s">
        <v>18</v>
      </c>
      <c r="E679" s="3" t="s">
        <v>12</v>
      </c>
      <c r="F679" s="5">
        <v>15</v>
      </c>
      <c r="G679" s="5">
        <v>9190</v>
      </c>
      <c r="H679" s="8">
        <f t="shared" si="40"/>
        <v>137850</v>
      </c>
      <c r="I679" s="8">
        <f t="shared" si="41"/>
        <v>13780</v>
      </c>
      <c r="J679" s="8" t="str">
        <f t="shared" si="42"/>
        <v/>
      </c>
      <c r="K679" s="8">
        <f t="shared" si="43"/>
        <v>151630</v>
      </c>
    </row>
    <row r="680" spans="2:11" hidden="1">
      <c r="B680" s="7">
        <v>41497</v>
      </c>
      <c r="C680" s="3" t="s">
        <v>38</v>
      </c>
      <c r="D680" s="6" t="s">
        <v>17</v>
      </c>
      <c r="E680" s="3" t="s">
        <v>0</v>
      </c>
      <c r="F680" s="5">
        <v>47</v>
      </c>
      <c r="G680" s="5">
        <v>7360</v>
      </c>
      <c r="H680" s="8">
        <f t="shared" si="40"/>
        <v>345920</v>
      </c>
      <c r="I680" s="8">
        <f t="shared" si="41"/>
        <v>34590</v>
      </c>
      <c r="J680" s="8">
        <f t="shared" si="42"/>
        <v>380510</v>
      </c>
      <c r="K680" s="8" t="str">
        <f t="shared" si="43"/>
        <v/>
      </c>
    </row>
    <row r="681" spans="2:11" hidden="1">
      <c r="B681" s="7">
        <v>41498</v>
      </c>
      <c r="C681" s="3" t="s">
        <v>40</v>
      </c>
      <c r="D681" s="6" t="s">
        <v>15</v>
      </c>
      <c r="E681" s="3" t="s">
        <v>1</v>
      </c>
      <c r="F681" s="5">
        <v>37</v>
      </c>
      <c r="G681" s="5">
        <v>6820</v>
      </c>
      <c r="H681" s="8">
        <f t="shared" si="40"/>
        <v>252340</v>
      </c>
      <c r="I681" s="8">
        <f t="shared" si="41"/>
        <v>25230</v>
      </c>
      <c r="J681" s="8">
        <f t="shared" si="42"/>
        <v>277570</v>
      </c>
      <c r="K681" s="8" t="str">
        <f t="shared" si="43"/>
        <v/>
      </c>
    </row>
    <row r="682" spans="2:11" hidden="1">
      <c r="B682" s="7">
        <v>41498</v>
      </c>
      <c r="C682" s="3" t="s">
        <v>45</v>
      </c>
      <c r="D682" s="6" t="s">
        <v>26</v>
      </c>
      <c r="E682" s="3" t="s">
        <v>0</v>
      </c>
      <c r="F682" s="5">
        <v>22</v>
      </c>
      <c r="G682" s="5">
        <v>2900</v>
      </c>
      <c r="H682" s="8">
        <f t="shared" si="40"/>
        <v>63800</v>
      </c>
      <c r="I682" s="8">
        <f t="shared" si="41"/>
        <v>6380</v>
      </c>
      <c r="J682" s="8">
        <f t="shared" si="42"/>
        <v>70180</v>
      </c>
      <c r="K682" s="8" t="str">
        <f t="shared" si="43"/>
        <v/>
      </c>
    </row>
    <row r="683" spans="2:11" hidden="1">
      <c r="B683" s="7">
        <v>41498</v>
      </c>
      <c r="C683" s="3" t="s">
        <v>36</v>
      </c>
      <c r="D683" s="6" t="s">
        <v>25</v>
      </c>
      <c r="E683" s="3" t="s">
        <v>0</v>
      </c>
      <c r="F683" s="5">
        <v>44</v>
      </c>
      <c r="G683" s="5">
        <v>1800</v>
      </c>
      <c r="H683" s="8">
        <f t="shared" si="40"/>
        <v>79200</v>
      </c>
      <c r="I683" s="8">
        <f t="shared" si="41"/>
        <v>7920</v>
      </c>
      <c r="J683" s="8">
        <f t="shared" si="42"/>
        <v>87120</v>
      </c>
      <c r="K683" s="8" t="str">
        <f t="shared" si="43"/>
        <v/>
      </c>
    </row>
    <row r="684" spans="2:11" hidden="1">
      <c r="B684" s="7">
        <v>41498</v>
      </c>
      <c r="C684" s="3" t="s">
        <v>43</v>
      </c>
      <c r="D684" s="6" t="s">
        <v>23</v>
      </c>
      <c r="E684" s="3" t="s">
        <v>0</v>
      </c>
      <c r="F684" s="5">
        <v>19</v>
      </c>
      <c r="G684" s="5">
        <v>2560</v>
      </c>
      <c r="H684" s="8">
        <f t="shared" si="40"/>
        <v>48640</v>
      </c>
      <c r="I684" s="8">
        <f t="shared" si="41"/>
        <v>4860</v>
      </c>
      <c r="J684" s="8">
        <f t="shared" si="42"/>
        <v>53500</v>
      </c>
      <c r="K684" s="8" t="str">
        <f t="shared" si="43"/>
        <v/>
      </c>
    </row>
    <row r="685" spans="2:11" hidden="1">
      <c r="B685" s="7">
        <v>41498</v>
      </c>
      <c r="C685" s="3" t="s">
        <v>41</v>
      </c>
      <c r="D685" s="6" t="s">
        <v>13</v>
      </c>
      <c r="E685" s="3" t="s">
        <v>0</v>
      </c>
      <c r="F685" s="5">
        <v>31</v>
      </c>
      <c r="G685" s="5">
        <v>5440</v>
      </c>
      <c r="H685" s="8">
        <f t="shared" si="40"/>
        <v>168640</v>
      </c>
      <c r="I685" s="8">
        <f t="shared" si="41"/>
        <v>16860</v>
      </c>
      <c r="J685" s="8">
        <f t="shared" si="42"/>
        <v>185500</v>
      </c>
      <c r="K685" s="8" t="str">
        <f t="shared" si="43"/>
        <v/>
      </c>
    </row>
    <row r="686" spans="2:11" hidden="1">
      <c r="B686" s="7">
        <v>41498</v>
      </c>
      <c r="C686" s="3" t="s">
        <v>37</v>
      </c>
      <c r="D686" s="6" t="s">
        <v>25</v>
      </c>
      <c r="E686" s="3" t="s">
        <v>0</v>
      </c>
      <c r="F686" s="5">
        <v>21</v>
      </c>
      <c r="G686" s="5">
        <v>6110</v>
      </c>
      <c r="H686" s="8">
        <f t="shared" si="40"/>
        <v>128310</v>
      </c>
      <c r="I686" s="8">
        <f t="shared" si="41"/>
        <v>12830</v>
      </c>
      <c r="J686" s="8">
        <f t="shared" si="42"/>
        <v>141140</v>
      </c>
      <c r="K686" s="8" t="str">
        <f t="shared" si="43"/>
        <v/>
      </c>
    </row>
    <row r="687" spans="2:11" hidden="1">
      <c r="B687" s="7">
        <v>41499</v>
      </c>
      <c r="C687" s="3" t="s">
        <v>41</v>
      </c>
      <c r="D687" s="6" t="s">
        <v>29</v>
      </c>
      <c r="E687" s="3" t="s">
        <v>0</v>
      </c>
      <c r="F687" s="5">
        <v>46</v>
      </c>
      <c r="G687" s="5">
        <v>4020</v>
      </c>
      <c r="H687" s="8">
        <f t="shared" si="40"/>
        <v>184920</v>
      </c>
      <c r="I687" s="8">
        <f t="shared" si="41"/>
        <v>18490</v>
      </c>
      <c r="J687" s="8">
        <f t="shared" si="42"/>
        <v>203410</v>
      </c>
      <c r="K687" s="8" t="str">
        <f t="shared" si="43"/>
        <v/>
      </c>
    </row>
    <row r="688" spans="2:11">
      <c r="B688" s="7">
        <v>41500</v>
      </c>
      <c r="C688" s="3" t="s">
        <v>44</v>
      </c>
      <c r="D688" s="6" t="s">
        <v>18</v>
      </c>
      <c r="E688" s="3" t="s">
        <v>12</v>
      </c>
      <c r="F688" s="5">
        <v>19</v>
      </c>
      <c r="G688" s="5">
        <v>9590</v>
      </c>
      <c r="H688" s="8">
        <f t="shared" si="40"/>
        <v>182210</v>
      </c>
      <c r="I688" s="8">
        <f t="shared" si="41"/>
        <v>18220</v>
      </c>
      <c r="J688" s="8" t="str">
        <f t="shared" si="42"/>
        <v/>
      </c>
      <c r="K688" s="8">
        <f t="shared" si="43"/>
        <v>200430</v>
      </c>
    </row>
    <row r="689" spans="2:11">
      <c r="B689" s="7">
        <v>41500</v>
      </c>
      <c r="C689" s="3" t="s">
        <v>40</v>
      </c>
      <c r="D689" s="6" t="s">
        <v>28</v>
      </c>
      <c r="E689" s="3" t="s">
        <v>12</v>
      </c>
      <c r="F689" s="5">
        <v>35</v>
      </c>
      <c r="G689" s="5">
        <v>11600</v>
      </c>
      <c r="H689" s="8">
        <f t="shared" si="40"/>
        <v>406000</v>
      </c>
      <c r="I689" s="8">
        <f t="shared" si="41"/>
        <v>40600</v>
      </c>
      <c r="J689" s="8" t="str">
        <f t="shared" si="42"/>
        <v/>
      </c>
      <c r="K689" s="8">
        <f t="shared" si="43"/>
        <v>446600</v>
      </c>
    </row>
    <row r="690" spans="2:11" hidden="1">
      <c r="B690" s="7">
        <v>41500</v>
      </c>
      <c r="C690" s="3" t="s">
        <v>41</v>
      </c>
      <c r="D690" s="6" t="s">
        <v>26</v>
      </c>
      <c r="E690" s="3" t="s">
        <v>0</v>
      </c>
      <c r="F690" s="5">
        <v>13</v>
      </c>
      <c r="G690" s="5">
        <v>1810</v>
      </c>
      <c r="H690" s="8">
        <f t="shared" si="40"/>
        <v>23530</v>
      </c>
      <c r="I690" s="8">
        <f t="shared" si="41"/>
        <v>2350</v>
      </c>
      <c r="J690" s="8">
        <f t="shared" si="42"/>
        <v>25880</v>
      </c>
      <c r="K690" s="8" t="str">
        <f t="shared" si="43"/>
        <v/>
      </c>
    </row>
    <row r="691" spans="2:11" hidden="1">
      <c r="B691" s="7">
        <v>41500</v>
      </c>
      <c r="C691" s="3" t="s">
        <v>40</v>
      </c>
      <c r="D691" s="6" t="s">
        <v>15</v>
      </c>
      <c r="E691" s="3" t="s">
        <v>0</v>
      </c>
      <c r="F691" s="5">
        <v>8</v>
      </c>
      <c r="G691" s="5">
        <v>3060</v>
      </c>
      <c r="H691" s="8">
        <f t="shared" si="40"/>
        <v>24480</v>
      </c>
      <c r="I691" s="8">
        <f t="shared" si="41"/>
        <v>2440</v>
      </c>
      <c r="J691" s="8">
        <f t="shared" si="42"/>
        <v>26920</v>
      </c>
      <c r="K691" s="8" t="str">
        <f t="shared" si="43"/>
        <v/>
      </c>
    </row>
    <row r="692" spans="2:11">
      <c r="B692" s="7">
        <v>41501</v>
      </c>
      <c r="C692" s="3" t="s">
        <v>45</v>
      </c>
      <c r="D692" s="6" t="s">
        <v>23</v>
      </c>
      <c r="E692" s="3" t="s">
        <v>12</v>
      </c>
      <c r="F692" s="5">
        <v>30</v>
      </c>
      <c r="G692" s="5">
        <v>6820</v>
      </c>
      <c r="H692" s="8">
        <f t="shared" si="40"/>
        <v>204600</v>
      </c>
      <c r="I692" s="8">
        <f t="shared" si="41"/>
        <v>20460</v>
      </c>
      <c r="J692" s="8" t="str">
        <f t="shared" si="42"/>
        <v/>
      </c>
      <c r="K692" s="8">
        <f t="shared" si="43"/>
        <v>225060</v>
      </c>
    </row>
    <row r="693" spans="2:11" hidden="1">
      <c r="B693" s="7">
        <v>41502</v>
      </c>
      <c r="C693" s="3" t="s">
        <v>36</v>
      </c>
      <c r="D693" s="6" t="s">
        <v>24</v>
      </c>
      <c r="E693" s="3" t="s">
        <v>1</v>
      </c>
      <c r="F693" s="5">
        <v>37</v>
      </c>
      <c r="G693" s="5">
        <v>7450</v>
      </c>
      <c r="H693" s="8">
        <f t="shared" si="40"/>
        <v>275650</v>
      </c>
      <c r="I693" s="8">
        <f t="shared" si="41"/>
        <v>27560</v>
      </c>
      <c r="J693" s="8">
        <f t="shared" si="42"/>
        <v>303210</v>
      </c>
      <c r="K693" s="8" t="str">
        <f t="shared" si="43"/>
        <v/>
      </c>
    </row>
    <row r="694" spans="2:11" hidden="1">
      <c r="B694" s="7">
        <v>41502</v>
      </c>
      <c r="C694" s="3" t="s">
        <v>40</v>
      </c>
      <c r="D694" s="6" t="s">
        <v>27</v>
      </c>
      <c r="E694" s="3" t="s">
        <v>0</v>
      </c>
      <c r="F694" s="5">
        <v>44</v>
      </c>
      <c r="G694" s="5">
        <v>2430</v>
      </c>
      <c r="H694" s="8">
        <f t="shared" si="40"/>
        <v>106920</v>
      </c>
      <c r="I694" s="8">
        <f t="shared" si="41"/>
        <v>10690</v>
      </c>
      <c r="J694" s="8">
        <f t="shared" si="42"/>
        <v>117610</v>
      </c>
      <c r="K694" s="8" t="str">
        <f t="shared" si="43"/>
        <v/>
      </c>
    </row>
    <row r="695" spans="2:11">
      <c r="B695" s="7">
        <v>41503</v>
      </c>
      <c r="C695" s="3" t="s">
        <v>41</v>
      </c>
      <c r="D695" s="6" t="s">
        <v>20</v>
      </c>
      <c r="E695" s="3" t="s">
        <v>12</v>
      </c>
      <c r="F695" s="5">
        <v>31</v>
      </c>
      <c r="G695" s="5">
        <v>8920</v>
      </c>
      <c r="H695" s="8">
        <f t="shared" si="40"/>
        <v>276520</v>
      </c>
      <c r="I695" s="8">
        <f t="shared" si="41"/>
        <v>27650</v>
      </c>
      <c r="J695" s="8" t="str">
        <f t="shared" si="42"/>
        <v/>
      </c>
      <c r="K695" s="8">
        <f t="shared" si="43"/>
        <v>304170</v>
      </c>
    </row>
    <row r="696" spans="2:11">
      <c r="B696" s="7">
        <v>41503</v>
      </c>
      <c r="C696" s="3" t="s">
        <v>42</v>
      </c>
      <c r="D696" s="6" t="s">
        <v>15</v>
      </c>
      <c r="E696" s="3" t="s">
        <v>12</v>
      </c>
      <c r="F696" s="5">
        <v>40</v>
      </c>
      <c r="G696" s="5">
        <v>8950</v>
      </c>
      <c r="H696" s="8">
        <f t="shared" si="40"/>
        <v>358000</v>
      </c>
      <c r="I696" s="8">
        <f t="shared" si="41"/>
        <v>35800</v>
      </c>
      <c r="J696" s="8" t="str">
        <f t="shared" si="42"/>
        <v/>
      </c>
      <c r="K696" s="8">
        <f t="shared" si="43"/>
        <v>393800</v>
      </c>
    </row>
    <row r="697" spans="2:11">
      <c r="B697" s="7">
        <v>41503</v>
      </c>
      <c r="C697" s="3" t="s">
        <v>45</v>
      </c>
      <c r="D697" s="6" t="s">
        <v>21</v>
      </c>
      <c r="E697" s="3" t="s">
        <v>12</v>
      </c>
      <c r="F697" s="5">
        <v>28</v>
      </c>
      <c r="G697" s="5">
        <v>9200</v>
      </c>
      <c r="H697" s="8">
        <f t="shared" si="40"/>
        <v>257600</v>
      </c>
      <c r="I697" s="8">
        <f t="shared" si="41"/>
        <v>25760</v>
      </c>
      <c r="J697" s="8" t="str">
        <f t="shared" si="42"/>
        <v/>
      </c>
      <c r="K697" s="8">
        <f t="shared" si="43"/>
        <v>283360</v>
      </c>
    </row>
    <row r="698" spans="2:11" hidden="1">
      <c r="B698" s="7">
        <v>41503</v>
      </c>
      <c r="C698" s="3" t="s">
        <v>38</v>
      </c>
      <c r="D698" s="6" t="s">
        <v>21</v>
      </c>
      <c r="E698" s="3" t="s">
        <v>0</v>
      </c>
      <c r="F698" s="5">
        <v>45</v>
      </c>
      <c r="G698" s="5">
        <v>1930</v>
      </c>
      <c r="H698" s="8">
        <f t="shared" si="40"/>
        <v>86850</v>
      </c>
      <c r="I698" s="8">
        <f t="shared" si="41"/>
        <v>8680</v>
      </c>
      <c r="J698" s="8">
        <f t="shared" si="42"/>
        <v>95530</v>
      </c>
      <c r="K698" s="8" t="str">
        <f t="shared" si="43"/>
        <v/>
      </c>
    </row>
    <row r="699" spans="2:11" hidden="1">
      <c r="B699" s="7">
        <v>41503</v>
      </c>
      <c r="C699" s="3" t="s">
        <v>42</v>
      </c>
      <c r="D699" s="6" t="s">
        <v>24</v>
      </c>
      <c r="E699" s="3" t="s">
        <v>0</v>
      </c>
      <c r="F699" s="5">
        <v>17</v>
      </c>
      <c r="G699" s="5">
        <v>2180</v>
      </c>
      <c r="H699" s="8">
        <f t="shared" si="40"/>
        <v>37060</v>
      </c>
      <c r="I699" s="8">
        <f t="shared" si="41"/>
        <v>3700</v>
      </c>
      <c r="J699" s="8">
        <f t="shared" si="42"/>
        <v>40760</v>
      </c>
      <c r="K699" s="8" t="str">
        <f t="shared" si="43"/>
        <v/>
      </c>
    </row>
    <row r="700" spans="2:11" hidden="1">
      <c r="B700" s="7">
        <v>41504</v>
      </c>
      <c r="C700" s="3" t="s">
        <v>45</v>
      </c>
      <c r="D700" s="6" t="s">
        <v>11</v>
      </c>
      <c r="E700" s="3" t="s">
        <v>1</v>
      </c>
      <c r="F700" s="5">
        <v>29</v>
      </c>
      <c r="G700" s="5">
        <v>6450</v>
      </c>
      <c r="H700" s="8">
        <f t="shared" si="40"/>
        <v>187050</v>
      </c>
      <c r="I700" s="8">
        <f t="shared" si="41"/>
        <v>18700</v>
      </c>
      <c r="J700" s="8">
        <f t="shared" si="42"/>
        <v>205750</v>
      </c>
      <c r="K700" s="8" t="str">
        <f t="shared" si="43"/>
        <v/>
      </c>
    </row>
    <row r="701" spans="2:11">
      <c r="B701" s="7">
        <v>41504</v>
      </c>
      <c r="C701" s="3" t="s">
        <v>40</v>
      </c>
      <c r="D701" s="6" t="s">
        <v>28</v>
      </c>
      <c r="E701" s="3" t="s">
        <v>12</v>
      </c>
      <c r="F701" s="5">
        <v>38</v>
      </c>
      <c r="G701" s="5">
        <v>8480</v>
      </c>
      <c r="H701" s="8">
        <f t="shared" si="40"/>
        <v>322240</v>
      </c>
      <c r="I701" s="8">
        <f t="shared" si="41"/>
        <v>32220</v>
      </c>
      <c r="J701" s="8" t="str">
        <f t="shared" si="42"/>
        <v/>
      </c>
      <c r="K701" s="8">
        <f t="shared" si="43"/>
        <v>354460</v>
      </c>
    </row>
    <row r="702" spans="2:11" hidden="1">
      <c r="B702" s="7">
        <v>41504</v>
      </c>
      <c r="C702" s="3" t="s">
        <v>39</v>
      </c>
      <c r="D702" s="6" t="s">
        <v>20</v>
      </c>
      <c r="E702" s="3" t="s">
        <v>0</v>
      </c>
      <c r="F702" s="5">
        <v>45</v>
      </c>
      <c r="G702" s="5">
        <v>3600</v>
      </c>
      <c r="H702" s="8">
        <f t="shared" si="40"/>
        <v>162000</v>
      </c>
      <c r="I702" s="8">
        <f t="shared" si="41"/>
        <v>16200</v>
      </c>
      <c r="J702" s="8">
        <f t="shared" si="42"/>
        <v>178200</v>
      </c>
      <c r="K702" s="8" t="str">
        <f t="shared" si="43"/>
        <v/>
      </c>
    </row>
    <row r="703" spans="2:11">
      <c r="B703" s="7">
        <v>41505</v>
      </c>
      <c r="C703" s="3" t="s">
        <v>38</v>
      </c>
      <c r="D703" s="6" t="s">
        <v>14</v>
      </c>
      <c r="E703" s="3" t="s">
        <v>12</v>
      </c>
      <c r="F703" s="5">
        <v>47</v>
      </c>
      <c r="G703" s="5">
        <v>4060</v>
      </c>
      <c r="H703" s="8">
        <f t="shared" si="40"/>
        <v>190820</v>
      </c>
      <c r="I703" s="8">
        <f t="shared" si="41"/>
        <v>19080</v>
      </c>
      <c r="J703" s="8" t="str">
        <f t="shared" si="42"/>
        <v/>
      </c>
      <c r="K703" s="8">
        <f t="shared" si="43"/>
        <v>209900</v>
      </c>
    </row>
    <row r="704" spans="2:11">
      <c r="B704" s="7">
        <v>41505</v>
      </c>
      <c r="C704" s="3" t="s">
        <v>36</v>
      </c>
      <c r="D704" s="6" t="s">
        <v>25</v>
      </c>
      <c r="E704" s="3" t="s">
        <v>12</v>
      </c>
      <c r="F704" s="5">
        <v>23</v>
      </c>
      <c r="G704" s="5">
        <v>11150</v>
      </c>
      <c r="H704" s="8">
        <f t="shared" si="40"/>
        <v>256450</v>
      </c>
      <c r="I704" s="8">
        <f t="shared" si="41"/>
        <v>25640</v>
      </c>
      <c r="J704" s="8" t="str">
        <f t="shared" si="42"/>
        <v/>
      </c>
      <c r="K704" s="8">
        <f t="shared" si="43"/>
        <v>282090</v>
      </c>
    </row>
    <row r="705" spans="2:11" hidden="1">
      <c r="B705" s="7">
        <v>41505</v>
      </c>
      <c r="C705" s="3" t="s">
        <v>39</v>
      </c>
      <c r="D705" s="6" t="s">
        <v>29</v>
      </c>
      <c r="E705" s="3" t="s">
        <v>0</v>
      </c>
      <c r="F705" s="5">
        <v>49</v>
      </c>
      <c r="G705" s="5">
        <v>3770</v>
      </c>
      <c r="H705" s="8">
        <f t="shared" si="40"/>
        <v>184730</v>
      </c>
      <c r="I705" s="8">
        <f t="shared" si="41"/>
        <v>18470</v>
      </c>
      <c r="J705" s="8">
        <f t="shared" si="42"/>
        <v>203200</v>
      </c>
      <c r="K705" s="8" t="str">
        <f t="shared" si="43"/>
        <v/>
      </c>
    </row>
    <row r="706" spans="2:11">
      <c r="B706" s="7">
        <v>41506</v>
      </c>
      <c r="C706" s="3" t="s">
        <v>39</v>
      </c>
      <c r="D706" s="6" t="s">
        <v>21</v>
      </c>
      <c r="E706" s="3" t="s">
        <v>12</v>
      </c>
      <c r="F706" s="5">
        <v>35</v>
      </c>
      <c r="G706" s="5">
        <v>8830</v>
      </c>
      <c r="H706" s="8">
        <f t="shared" si="40"/>
        <v>309050</v>
      </c>
      <c r="I706" s="8">
        <f t="shared" si="41"/>
        <v>30900</v>
      </c>
      <c r="J706" s="8" t="str">
        <f t="shared" si="42"/>
        <v/>
      </c>
      <c r="K706" s="8">
        <f t="shared" si="43"/>
        <v>339950</v>
      </c>
    </row>
    <row r="707" spans="2:11" hidden="1">
      <c r="B707" s="7">
        <v>41506</v>
      </c>
      <c r="C707" s="3" t="s">
        <v>36</v>
      </c>
      <c r="D707" s="6" t="s">
        <v>25</v>
      </c>
      <c r="E707" s="3" t="s">
        <v>1</v>
      </c>
      <c r="F707" s="5">
        <v>47</v>
      </c>
      <c r="G707" s="5">
        <v>9970</v>
      </c>
      <c r="H707" s="8">
        <f t="shared" si="40"/>
        <v>468590</v>
      </c>
      <c r="I707" s="8">
        <f t="shared" si="41"/>
        <v>46850</v>
      </c>
      <c r="J707" s="8">
        <f t="shared" si="42"/>
        <v>515440</v>
      </c>
      <c r="K707" s="8" t="str">
        <f t="shared" si="43"/>
        <v/>
      </c>
    </row>
    <row r="708" spans="2:11" hidden="1">
      <c r="B708" s="7">
        <v>41506</v>
      </c>
      <c r="C708" s="3" t="s">
        <v>39</v>
      </c>
      <c r="D708" s="6" t="s">
        <v>18</v>
      </c>
      <c r="E708" s="3" t="s">
        <v>0</v>
      </c>
      <c r="F708" s="5">
        <v>19</v>
      </c>
      <c r="G708" s="5">
        <v>3290</v>
      </c>
      <c r="H708" s="8">
        <f t="shared" si="40"/>
        <v>62510</v>
      </c>
      <c r="I708" s="8">
        <f t="shared" si="41"/>
        <v>6250</v>
      </c>
      <c r="J708" s="8">
        <f t="shared" si="42"/>
        <v>68760</v>
      </c>
      <c r="K708" s="8" t="str">
        <f t="shared" si="43"/>
        <v/>
      </c>
    </row>
    <row r="709" spans="2:11" hidden="1">
      <c r="B709" s="7">
        <v>41506</v>
      </c>
      <c r="C709" s="3" t="s">
        <v>45</v>
      </c>
      <c r="D709" s="6" t="s">
        <v>26</v>
      </c>
      <c r="E709" s="3" t="s">
        <v>0</v>
      </c>
      <c r="F709" s="5">
        <v>31</v>
      </c>
      <c r="G709" s="5">
        <v>3310</v>
      </c>
      <c r="H709" s="8">
        <f t="shared" si="40"/>
        <v>102610</v>
      </c>
      <c r="I709" s="8">
        <f t="shared" si="41"/>
        <v>10260</v>
      </c>
      <c r="J709" s="8">
        <f t="shared" si="42"/>
        <v>112870</v>
      </c>
      <c r="K709" s="8" t="str">
        <f t="shared" si="43"/>
        <v/>
      </c>
    </row>
    <row r="710" spans="2:11" hidden="1">
      <c r="B710" s="7">
        <v>41508</v>
      </c>
      <c r="C710" s="3" t="s">
        <v>40</v>
      </c>
      <c r="D710" s="6" t="s">
        <v>14</v>
      </c>
      <c r="E710" s="3" t="s">
        <v>0</v>
      </c>
      <c r="F710" s="5">
        <v>47</v>
      </c>
      <c r="G710" s="5">
        <v>2410</v>
      </c>
      <c r="H710" s="8">
        <f t="shared" si="40"/>
        <v>113270</v>
      </c>
      <c r="I710" s="8">
        <f t="shared" si="41"/>
        <v>11320</v>
      </c>
      <c r="J710" s="8">
        <f t="shared" si="42"/>
        <v>124590</v>
      </c>
      <c r="K710" s="8" t="str">
        <f t="shared" si="43"/>
        <v/>
      </c>
    </row>
    <row r="711" spans="2:11">
      <c r="B711" s="7">
        <v>41509</v>
      </c>
      <c r="C711" s="3" t="s">
        <v>39</v>
      </c>
      <c r="D711" s="6" t="s">
        <v>11</v>
      </c>
      <c r="E711" s="3" t="s">
        <v>12</v>
      </c>
      <c r="F711" s="5">
        <v>15</v>
      </c>
      <c r="G711" s="5">
        <v>6820</v>
      </c>
      <c r="H711" s="8">
        <f t="shared" si="40"/>
        <v>102300</v>
      </c>
      <c r="I711" s="8">
        <f t="shared" si="41"/>
        <v>10230</v>
      </c>
      <c r="J711" s="8" t="str">
        <f t="shared" si="42"/>
        <v/>
      </c>
      <c r="K711" s="8">
        <f t="shared" si="43"/>
        <v>112530</v>
      </c>
    </row>
    <row r="712" spans="2:11">
      <c r="B712" s="7">
        <v>41509</v>
      </c>
      <c r="C712" s="3" t="s">
        <v>44</v>
      </c>
      <c r="D712" s="6" t="s">
        <v>13</v>
      </c>
      <c r="E712" s="3" t="s">
        <v>12</v>
      </c>
      <c r="F712" s="5">
        <v>26</v>
      </c>
      <c r="G712" s="5">
        <v>11070</v>
      </c>
      <c r="H712" s="8">
        <f t="shared" si="40"/>
        <v>287820</v>
      </c>
      <c r="I712" s="8">
        <f t="shared" si="41"/>
        <v>28780</v>
      </c>
      <c r="J712" s="8" t="str">
        <f t="shared" si="42"/>
        <v/>
      </c>
      <c r="K712" s="8">
        <f t="shared" si="43"/>
        <v>316600</v>
      </c>
    </row>
    <row r="713" spans="2:11" hidden="1">
      <c r="B713" s="7">
        <v>41509</v>
      </c>
      <c r="C713" s="3" t="s">
        <v>44</v>
      </c>
      <c r="D713" s="6" t="s">
        <v>28</v>
      </c>
      <c r="E713" s="3" t="s">
        <v>0</v>
      </c>
      <c r="F713" s="5">
        <v>9</v>
      </c>
      <c r="G713" s="5">
        <v>3930</v>
      </c>
      <c r="H713" s="8">
        <f t="shared" si="40"/>
        <v>35370</v>
      </c>
      <c r="I713" s="8">
        <f t="shared" si="41"/>
        <v>3530</v>
      </c>
      <c r="J713" s="8">
        <f t="shared" si="42"/>
        <v>38900</v>
      </c>
      <c r="K713" s="8" t="str">
        <f t="shared" si="43"/>
        <v/>
      </c>
    </row>
    <row r="714" spans="2:11" hidden="1">
      <c r="B714" s="7">
        <v>41509</v>
      </c>
      <c r="C714" s="3" t="s">
        <v>45</v>
      </c>
      <c r="D714" s="6" t="s">
        <v>16</v>
      </c>
      <c r="E714" s="3" t="s">
        <v>0</v>
      </c>
      <c r="F714" s="5">
        <v>28</v>
      </c>
      <c r="G714" s="5">
        <v>5360</v>
      </c>
      <c r="H714" s="8">
        <f t="shared" si="40"/>
        <v>150080</v>
      </c>
      <c r="I714" s="8">
        <f t="shared" si="41"/>
        <v>15000</v>
      </c>
      <c r="J714" s="8">
        <f t="shared" si="42"/>
        <v>165080</v>
      </c>
      <c r="K714" s="8" t="str">
        <f t="shared" si="43"/>
        <v/>
      </c>
    </row>
    <row r="715" spans="2:11">
      <c r="B715" s="7">
        <v>41510</v>
      </c>
      <c r="C715" s="3" t="s">
        <v>43</v>
      </c>
      <c r="D715" s="6" t="s">
        <v>27</v>
      </c>
      <c r="E715" s="3" t="s">
        <v>12</v>
      </c>
      <c r="F715" s="5">
        <v>5</v>
      </c>
      <c r="G715" s="5">
        <v>6570</v>
      </c>
      <c r="H715" s="8">
        <f t="shared" si="40"/>
        <v>32850</v>
      </c>
      <c r="I715" s="8">
        <f t="shared" si="41"/>
        <v>3280</v>
      </c>
      <c r="J715" s="8" t="str">
        <f t="shared" si="42"/>
        <v/>
      </c>
      <c r="K715" s="8">
        <f t="shared" si="43"/>
        <v>36130</v>
      </c>
    </row>
    <row r="716" spans="2:11">
      <c r="B716" s="7">
        <v>41510</v>
      </c>
      <c r="C716" s="3" t="s">
        <v>41</v>
      </c>
      <c r="D716" s="6" t="s">
        <v>13</v>
      </c>
      <c r="E716" s="3" t="s">
        <v>12</v>
      </c>
      <c r="F716" s="5">
        <v>26</v>
      </c>
      <c r="G716" s="5">
        <v>8250</v>
      </c>
      <c r="H716" s="8">
        <f t="shared" si="40"/>
        <v>214500</v>
      </c>
      <c r="I716" s="8">
        <f t="shared" si="41"/>
        <v>21450</v>
      </c>
      <c r="J716" s="8" t="str">
        <f t="shared" si="42"/>
        <v/>
      </c>
      <c r="K716" s="8">
        <f t="shared" si="43"/>
        <v>235950</v>
      </c>
    </row>
    <row r="717" spans="2:11">
      <c r="B717" s="7">
        <v>41510</v>
      </c>
      <c r="C717" s="3" t="s">
        <v>45</v>
      </c>
      <c r="D717" s="6" t="s">
        <v>13</v>
      </c>
      <c r="E717" s="3" t="s">
        <v>12</v>
      </c>
      <c r="F717" s="5">
        <v>39</v>
      </c>
      <c r="G717" s="5">
        <v>10260</v>
      </c>
      <c r="H717" s="8">
        <f t="shared" ref="H717:H780" si="44">F717*G717</f>
        <v>400140</v>
      </c>
      <c r="I717" s="8">
        <f t="shared" ref="I717:I780" si="45">TRUNC(H717*10%,-1)</f>
        <v>40010</v>
      </c>
      <c r="J717" s="8" t="str">
        <f t="shared" ref="J717:J780" si="46">IF(E717="매입",H717+I717,"")</f>
        <v/>
      </c>
      <c r="K717" s="8">
        <f t="shared" ref="K717:K780" si="47">IF(E717="매출",H717+I717,"")</f>
        <v>440150</v>
      </c>
    </row>
    <row r="718" spans="2:11">
      <c r="B718" s="7">
        <v>41510</v>
      </c>
      <c r="C718" s="3" t="s">
        <v>40</v>
      </c>
      <c r="D718" s="6" t="s">
        <v>13</v>
      </c>
      <c r="E718" s="3" t="s">
        <v>12</v>
      </c>
      <c r="F718" s="5">
        <v>26</v>
      </c>
      <c r="G718" s="5">
        <v>10530</v>
      </c>
      <c r="H718" s="8">
        <f t="shared" si="44"/>
        <v>273780</v>
      </c>
      <c r="I718" s="8">
        <f t="shared" si="45"/>
        <v>27370</v>
      </c>
      <c r="J718" s="8" t="str">
        <f t="shared" si="46"/>
        <v/>
      </c>
      <c r="K718" s="8">
        <f t="shared" si="47"/>
        <v>301150</v>
      </c>
    </row>
    <row r="719" spans="2:11" hidden="1">
      <c r="B719" s="7">
        <v>41510</v>
      </c>
      <c r="C719" s="3" t="s">
        <v>44</v>
      </c>
      <c r="D719" s="6" t="s">
        <v>18</v>
      </c>
      <c r="E719" s="3" t="s">
        <v>0</v>
      </c>
      <c r="F719" s="5">
        <v>30</v>
      </c>
      <c r="G719" s="5">
        <v>5840</v>
      </c>
      <c r="H719" s="8">
        <f t="shared" si="44"/>
        <v>175200</v>
      </c>
      <c r="I719" s="8">
        <f t="shared" si="45"/>
        <v>17520</v>
      </c>
      <c r="J719" s="8">
        <f t="shared" si="46"/>
        <v>192720</v>
      </c>
      <c r="K719" s="8" t="str">
        <f t="shared" si="47"/>
        <v/>
      </c>
    </row>
    <row r="720" spans="2:11" hidden="1">
      <c r="B720" s="7">
        <v>41511</v>
      </c>
      <c r="C720" s="3" t="s">
        <v>39</v>
      </c>
      <c r="D720" s="6" t="s">
        <v>17</v>
      </c>
      <c r="E720" s="3" t="s">
        <v>1</v>
      </c>
      <c r="F720" s="5">
        <v>24</v>
      </c>
      <c r="G720" s="5">
        <v>16260</v>
      </c>
      <c r="H720" s="8">
        <f t="shared" si="44"/>
        <v>390240</v>
      </c>
      <c r="I720" s="8">
        <f t="shared" si="45"/>
        <v>39020</v>
      </c>
      <c r="J720" s="8">
        <f t="shared" si="46"/>
        <v>429260</v>
      </c>
      <c r="K720" s="8" t="str">
        <f t="shared" si="47"/>
        <v/>
      </c>
    </row>
    <row r="721" spans="2:11" hidden="1">
      <c r="B721" s="7">
        <v>41511</v>
      </c>
      <c r="C721" s="3" t="s">
        <v>44</v>
      </c>
      <c r="D721" s="6" t="s">
        <v>26</v>
      </c>
      <c r="E721" s="3" t="s">
        <v>0</v>
      </c>
      <c r="F721" s="5">
        <v>40</v>
      </c>
      <c r="G721" s="5">
        <v>3060</v>
      </c>
      <c r="H721" s="8">
        <f t="shared" si="44"/>
        <v>122400</v>
      </c>
      <c r="I721" s="8">
        <f t="shared" si="45"/>
        <v>12240</v>
      </c>
      <c r="J721" s="8">
        <f t="shared" si="46"/>
        <v>134640</v>
      </c>
      <c r="K721" s="8" t="str">
        <f t="shared" si="47"/>
        <v/>
      </c>
    </row>
    <row r="722" spans="2:11" hidden="1">
      <c r="B722" s="7">
        <v>41511</v>
      </c>
      <c r="C722" s="3" t="s">
        <v>38</v>
      </c>
      <c r="D722" s="6" t="s">
        <v>25</v>
      </c>
      <c r="E722" s="3" t="s">
        <v>0</v>
      </c>
      <c r="F722" s="5">
        <v>12</v>
      </c>
      <c r="G722" s="5">
        <v>4320</v>
      </c>
      <c r="H722" s="8">
        <f t="shared" si="44"/>
        <v>51840</v>
      </c>
      <c r="I722" s="8">
        <f t="shared" si="45"/>
        <v>5180</v>
      </c>
      <c r="J722" s="8">
        <f t="shared" si="46"/>
        <v>57020</v>
      </c>
      <c r="K722" s="8" t="str">
        <f t="shared" si="47"/>
        <v/>
      </c>
    </row>
    <row r="723" spans="2:11" hidden="1">
      <c r="B723" s="7">
        <v>41511</v>
      </c>
      <c r="C723" s="3" t="s">
        <v>43</v>
      </c>
      <c r="D723" s="6" t="s">
        <v>20</v>
      </c>
      <c r="E723" s="3" t="s">
        <v>0</v>
      </c>
      <c r="F723" s="5">
        <v>48</v>
      </c>
      <c r="G723" s="5">
        <v>5300</v>
      </c>
      <c r="H723" s="8">
        <f t="shared" si="44"/>
        <v>254400</v>
      </c>
      <c r="I723" s="8">
        <f t="shared" si="45"/>
        <v>25440</v>
      </c>
      <c r="J723" s="8">
        <f t="shared" si="46"/>
        <v>279840</v>
      </c>
      <c r="K723" s="8" t="str">
        <f t="shared" si="47"/>
        <v/>
      </c>
    </row>
    <row r="724" spans="2:11">
      <c r="B724" s="7">
        <v>41512</v>
      </c>
      <c r="C724" s="3" t="s">
        <v>39</v>
      </c>
      <c r="D724" s="6" t="s">
        <v>21</v>
      </c>
      <c r="E724" s="3" t="s">
        <v>12</v>
      </c>
      <c r="F724" s="5">
        <v>7</v>
      </c>
      <c r="G724" s="5">
        <v>6190</v>
      </c>
      <c r="H724" s="8">
        <f t="shared" si="44"/>
        <v>43330</v>
      </c>
      <c r="I724" s="8">
        <f t="shared" si="45"/>
        <v>4330</v>
      </c>
      <c r="J724" s="8" t="str">
        <f t="shared" si="46"/>
        <v/>
      </c>
      <c r="K724" s="8">
        <f t="shared" si="47"/>
        <v>47660</v>
      </c>
    </row>
    <row r="725" spans="2:11">
      <c r="B725" s="7">
        <v>41512</v>
      </c>
      <c r="C725" s="3" t="s">
        <v>44</v>
      </c>
      <c r="D725" s="6" t="s">
        <v>26</v>
      </c>
      <c r="E725" s="3" t="s">
        <v>12</v>
      </c>
      <c r="F725" s="5">
        <v>25</v>
      </c>
      <c r="G725" s="5">
        <v>6570</v>
      </c>
      <c r="H725" s="8">
        <f t="shared" si="44"/>
        <v>164250</v>
      </c>
      <c r="I725" s="8">
        <f t="shared" si="45"/>
        <v>16420</v>
      </c>
      <c r="J725" s="8" t="str">
        <f t="shared" si="46"/>
        <v/>
      </c>
      <c r="K725" s="8">
        <f t="shared" si="47"/>
        <v>180670</v>
      </c>
    </row>
    <row r="726" spans="2:11">
      <c r="B726" s="7">
        <v>41512</v>
      </c>
      <c r="C726" s="3" t="s">
        <v>37</v>
      </c>
      <c r="D726" s="6" t="s">
        <v>15</v>
      </c>
      <c r="E726" s="3" t="s">
        <v>12</v>
      </c>
      <c r="F726" s="5">
        <v>32</v>
      </c>
      <c r="G726" s="5">
        <v>9580</v>
      </c>
      <c r="H726" s="8">
        <f t="shared" si="44"/>
        <v>306560</v>
      </c>
      <c r="I726" s="8">
        <f t="shared" si="45"/>
        <v>30650</v>
      </c>
      <c r="J726" s="8" t="str">
        <f t="shared" si="46"/>
        <v/>
      </c>
      <c r="K726" s="8">
        <f t="shared" si="47"/>
        <v>337210</v>
      </c>
    </row>
    <row r="727" spans="2:11">
      <c r="B727" s="7">
        <v>41512</v>
      </c>
      <c r="C727" s="3" t="s">
        <v>39</v>
      </c>
      <c r="D727" s="6" t="s">
        <v>13</v>
      </c>
      <c r="E727" s="3" t="s">
        <v>12</v>
      </c>
      <c r="F727" s="5">
        <v>8</v>
      </c>
      <c r="G727" s="5">
        <v>10800</v>
      </c>
      <c r="H727" s="8">
        <f t="shared" si="44"/>
        <v>86400</v>
      </c>
      <c r="I727" s="8">
        <f t="shared" si="45"/>
        <v>8640</v>
      </c>
      <c r="J727" s="8" t="str">
        <f t="shared" si="46"/>
        <v/>
      </c>
      <c r="K727" s="8">
        <f t="shared" si="47"/>
        <v>95040</v>
      </c>
    </row>
    <row r="728" spans="2:11">
      <c r="B728" s="7">
        <v>41513</v>
      </c>
      <c r="C728" s="3" t="s">
        <v>45</v>
      </c>
      <c r="D728" s="6" t="s">
        <v>26</v>
      </c>
      <c r="E728" s="3" t="s">
        <v>12</v>
      </c>
      <c r="F728" s="5">
        <v>44</v>
      </c>
      <c r="G728" s="5">
        <v>6190</v>
      </c>
      <c r="H728" s="8">
        <f t="shared" si="44"/>
        <v>272360</v>
      </c>
      <c r="I728" s="8">
        <f t="shared" si="45"/>
        <v>27230</v>
      </c>
      <c r="J728" s="8" t="str">
        <f t="shared" si="46"/>
        <v/>
      </c>
      <c r="K728" s="8">
        <f t="shared" si="47"/>
        <v>299590</v>
      </c>
    </row>
    <row r="729" spans="2:11">
      <c r="B729" s="7">
        <v>41513</v>
      </c>
      <c r="C729" s="3" t="s">
        <v>37</v>
      </c>
      <c r="D729" s="6" t="s">
        <v>16</v>
      </c>
      <c r="E729" s="3" t="s">
        <v>12</v>
      </c>
      <c r="F729" s="5">
        <v>26</v>
      </c>
      <c r="G729" s="5">
        <v>10260</v>
      </c>
      <c r="H729" s="8">
        <f t="shared" si="44"/>
        <v>266760</v>
      </c>
      <c r="I729" s="8">
        <f t="shared" si="45"/>
        <v>26670</v>
      </c>
      <c r="J729" s="8" t="str">
        <f t="shared" si="46"/>
        <v/>
      </c>
      <c r="K729" s="8">
        <f t="shared" si="47"/>
        <v>293430</v>
      </c>
    </row>
    <row r="730" spans="2:11" hidden="1">
      <c r="B730" s="7">
        <v>41513</v>
      </c>
      <c r="C730" s="3" t="s">
        <v>37</v>
      </c>
      <c r="D730" s="6" t="s">
        <v>25</v>
      </c>
      <c r="E730" s="3" t="s">
        <v>0</v>
      </c>
      <c r="F730" s="5">
        <v>41</v>
      </c>
      <c r="G730" s="5">
        <v>2240</v>
      </c>
      <c r="H730" s="8">
        <f t="shared" si="44"/>
        <v>91840</v>
      </c>
      <c r="I730" s="8">
        <f t="shared" si="45"/>
        <v>9180</v>
      </c>
      <c r="J730" s="8">
        <f t="shared" si="46"/>
        <v>101020</v>
      </c>
      <c r="K730" s="8" t="str">
        <f t="shared" si="47"/>
        <v/>
      </c>
    </row>
    <row r="731" spans="2:11" hidden="1">
      <c r="B731" s="7">
        <v>41513</v>
      </c>
      <c r="C731" s="3" t="s">
        <v>41</v>
      </c>
      <c r="D731" s="6" t="s">
        <v>11</v>
      </c>
      <c r="E731" s="3" t="s">
        <v>0</v>
      </c>
      <c r="F731" s="5">
        <v>24</v>
      </c>
      <c r="G731" s="5">
        <v>2560</v>
      </c>
      <c r="H731" s="8">
        <f t="shared" si="44"/>
        <v>61440</v>
      </c>
      <c r="I731" s="8">
        <f t="shared" si="45"/>
        <v>6140</v>
      </c>
      <c r="J731" s="8">
        <f t="shared" si="46"/>
        <v>67580</v>
      </c>
      <c r="K731" s="8" t="str">
        <f t="shared" si="47"/>
        <v/>
      </c>
    </row>
    <row r="732" spans="2:11">
      <c r="B732" s="7">
        <v>41514</v>
      </c>
      <c r="C732" s="3" t="s">
        <v>41</v>
      </c>
      <c r="D732" s="6" t="s">
        <v>28</v>
      </c>
      <c r="E732" s="3" t="s">
        <v>12</v>
      </c>
      <c r="F732" s="5">
        <v>26</v>
      </c>
      <c r="G732" s="5">
        <v>11010</v>
      </c>
      <c r="H732" s="8">
        <f t="shared" si="44"/>
        <v>286260</v>
      </c>
      <c r="I732" s="8">
        <f t="shared" si="45"/>
        <v>28620</v>
      </c>
      <c r="J732" s="8" t="str">
        <f t="shared" si="46"/>
        <v/>
      </c>
      <c r="K732" s="8">
        <f t="shared" si="47"/>
        <v>314880</v>
      </c>
    </row>
    <row r="733" spans="2:11" hidden="1">
      <c r="B733" s="7">
        <v>41514</v>
      </c>
      <c r="C733" s="3" t="s">
        <v>39</v>
      </c>
      <c r="D733" s="6" t="s">
        <v>27</v>
      </c>
      <c r="E733" s="3" t="s">
        <v>0</v>
      </c>
      <c r="F733" s="5">
        <v>21</v>
      </c>
      <c r="G733" s="5">
        <v>1930</v>
      </c>
      <c r="H733" s="8">
        <f t="shared" si="44"/>
        <v>40530</v>
      </c>
      <c r="I733" s="8">
        <f t="shared" si="45"/>
        <v>4050</v>
      </c>
      <c r="J733" s="8">
        <f t="shared" si="46"/>
        <v>44580</v>
      </c>
      <c r="K733" s="8" t="str">
        <f t="shared" si="47"/>
        <v/>
      </c>
    </row>
    <row r="734" spans="2:11" hidden="1">
      <c r="B734" s="7">
        <v>41514</v>
      </c>
      <c r="C734" s="3" t="s">
        <v>39</v>
      </c>
      <c r="D734" s="6" t="s">
        <v>26</v>
      </c>
      <c r="E734" s="3" t="s">
        <v>0</v>
      </c>
      <c r="F734" s="5">
        <v>16</v>
      </c>
      <c r="G734" s="5">
        <v>4440</v>
      </c>
      <c r="H734" s="8">
        <f t="shared" si="44"/>
        <v>71040</v>
      </c>
      <c r="I734" s="8">
        <f t="shared" si="45"/>
        <v>7100</v>
      </c>
      <c r="J734" s="8">
        <f t="shared" si="46"/>
        <v>78140</v>
      </c>
      <c r="K734" s="8" t="str">
        <f t="shared" si="47"/>
        <v/>
      </c>
    </row>
    <row r="735" spans="2:11" hidden="1">
      <c r="B735" s="7">
        <v>41514</v>
      </c>
      <c r="C735" s="3" t="s">
        <v>40</v>
      </c>
      <c r="D735" s="6" t="s">
        <v>28</v>
      </c>
      <c r="E735" s="3" t="s">
        <v>0</v>
      </c>
      <c r="F735" s="5">
        <v>39</v>
      </c>
      <c r="G735" s="5">
        <v>6400</v>
      </c>
      <c r="H735" s="8">
        <f t="shared" si="44"/>
        <v>249600</v>
      </c>
      <c r="I735" s="8">
        <f t="shared" si="45"/>
        <v>24960</v>
      </c>
      <c r="J735" s="8">
        <f t="shared" si="46"/>
        <v>274560</v>
      </c>
      <c r="K735" s="8" t="str">
        <f t="shared" si="47"/>
        <v/>
      </c>
    </row>
    <row r="736" spans="2:11" hidden="1">
      <c r="B736" s="7">
        <v>41515</v>
      </c>
      <c r="C736" s="3" t="s">
        <v>38</v>
      </c>
      <c r="D736" s="6" t="s">
        <v>22</v>
      </c>
      <c r="E736" s="3" t="s">
        <v>0</v>
      </c>
      <c r="F736" s="5">
        <v>25</v>
      </c>
      <c r="G736" s="5">
        <v>2770</v>
      </c>
      <c r="H736" s="8">
        <f t="shared" si="44"/>
        <v>69250</v>
      </c>
      <c r="I736" s="8">
        <f t="shared" si="45"/>
        <v>6920</v>
      </c>
      <c r="J736" s="8">
        <f t="shared" si="46"/>
        <v>76170</v>
      </c>
      <c r="K736" s="8" t="str">
        <f t="shared" si="47"/>
        <v/>
      </c>
    </row>
    <row r="737" spans="2:11">
      <c r="B737" s="7">
        <v>41516</v>
      </c>
      <c r="C737" s="3" t="s">
        <v>39</v>
      </c>
      <c r="D737" s="6" t="s">
        <v>26</v>
      </c>
      <c r="E737" s="3" t="s">
        <v>12</v>
      </c>
      <c r="F737" s="5">
        <v>8</v>
      </c>
      <c r="G737" s="5">
        <v>9080</v>
      </c>
      <c r="H737" s="8">
        <f t="shared" si="44"/>
        <v>72640</v>
      </c>
      <c r="I737" s="8">
        <f t="shared" si="45"/>
        <v>7260</v>
      </c>
      <c r="J737" s="8" t="str">
        <f t="shared" si="46"/>
        <v/>
      </c>
      <c r="K737" s="8">
        <f t="shared" si="47"/>
        <v>79900</v>
      </c>
    </row>
    <row r="738" spans="2:11">
      <c r="B738" s="7">
        <v>41516</v>
      </c>
      <c r="C738" s="3" t="s">
        <v>38</v>
      </c>
      <c r="D738" s="6" t="s">
        <v>15</v>
      </c>
      <c r="E738" s="3" t="s">
        <v>12</v>
      </c>
      <c r="F738" s="5">
        <v>20</v>
      </c>
      <c r="G738" s="5">
        <v>10080</v>
      </c>
      <c r="H738" s="8">
        <f t="shared" si="44"/>
        <v>201600</v>
      </c>
      <c r="I738" s="8">
        <f t="shared" si="45"/>
        <v>20160</v>
      </c>
      <c r="J738" s="8" t="str">
        <f t="shared" si="46"/>
        <v/>
      </c>
      <c r="K738" s="8">
        <f t="shared" si="47"/>
        <v>221760</v>
      </c>
    </row>
    <row r="739" spans="2:11" hidden="1">
      <c r="B739" s="7">
        <v>41516</v>
      </c>
      <c r="C739" s="3" t="s">
        <v>41</v>
      </c>
      <c r="D739" s="6" t="s">
        <v>19</v>
      </c>
      <c r="E739" s="3" t="s">
        <v>0</v>
      </c>
      <c r="F739" s="5">
        <v>25</v>
      </c>
      <c r="G739" s="5">
        <v>1430</v>
      </c>
      <c r="H739" s="8">
        <f t="shared" si="44"/>
        <v>35750</v>
      </c>
      <c r="I739" s="8">
        <f t="shared" si="45"/>
        <v>3570</v>
      </c>
      <c r="J739" s="8">
        <f t="shared" si="46"/>
        <v>39320</v>
      </c>
      <c r="K739" s="8" t="str">
        <f t="shared" si="47"/>
        <v/>
      </c>
    </row>
    <row r="740" spans="2:11" hidden="1">
      <c r="B740" s="7">
        <v>41516</v>
      </c>
      <c r="C740" s="3" t="s">
        <v>38</v>
      </c>
      <c r="D740" s="6" t="s">
        <v>18</v>
      </c>
      <c r="E740" s="3" t="s">
        <v>0</v>
      </c>
      <c r="F740" s="5">
        <v>32</v>
      </c>
      <c r="G740" s="5">
        <v>4770</v>
      </c>
      <c r="H740" s="8">
        <f t="shared" si="44"/>
        <v>152640</v>
      </c>
      <c r="I740" s="8">
        <f t="shared" si="45"/>
        <v>15260</v>
      </c>
      <c r="J740" s="8">
        <f t="shared" si="46"/>
        <v>167900</v>
      </c>
      <c r="K740" s="8" t="str">
        <f t="shared" si="47"/>
        <v/>
      </c>
    </row>
    <row r="741" spans="2:11">
      <c r="B741" s="7">
        <v>41517</v>
      </c>
      <c r="C741" s="3" t="s">
        <v>42</v>
      </c>
      <c r="D741" s="6" t="s">
        <v>29</v>
      </c>
      <c r="E741" s="3" t="s">
        <v>12</v>
      </c>
      <c r="F741" s="5">
        <v>23</v>
      </c>
      <c r="G741" s="5">
        <v>8830</v>
      </c>
      <c r="H741" s="8">
        <f t="shared" si="44"/>
        <v>203090</v>
      </c>
      <c r="I741" s="8">
        <f t="shared" si="45"/>
        <v>20300</v>
      </c>
      <c r="J741" s="8" t="str">
        <f t="shared" si="46"/>
        <v/>
      </c>
      <c r="K741" s="8">
        <f t="shared" si="47"/>
        <v>223390</v>
      </c>
    </row>
    <row r="742" spans="2:11" hidden="1">
      <c r="B742" s="7">
        <v>41517</v>
      </c>
      <c r="C742" s="3" t="s">
        <v>44</v>
      </c>
      <c r="D742" s="6" t="s">
        <v>29</v>
      </c>
      <c r="E742" s="3" t="s">
        <v>0</v>
      </c>
      <c r="F742" s="5">
        <v>22</v>
      </c>
      <c r="G742" s="5">
        <v>4020</v>
      </c>
      <c r="H742" s="8">
        <f t="shared" si="44"/>
        <v>88440</v>
      </c>
      <c r="I742" s="8">
        <f t="shared" si="45"/>
        <v>8840</v>
      </c>
      <c r="J742" s="8">
        <f t="shared" si="46"/>
        <v>97280</v>
      </c>
      <c r="K742" s="8" t="str">
        <f t="shared" si="47"/>
        <v/>
      </c>
    </row>
    <row r="743" spans="2:11" hidden="1">
      <c r="B743" s="7">
        <v>41517</v>
      </c>
      <c r="C743" s="3" t="s">
        <v>42</v>
      </c>
      <c r="D743" s="6" t="s">
        <v>21</v>
      </c>
      <c r="E743" s="3" t="s">
        <v>0</v>
      </c>
      <c r="F743" s="5">
        <v>24</v>
      </c>
      <c r="G743" s="5">
        <v>1680</v>
      </c>
      <c r="H743" s="8">
        <f t="shared" si="44"/>
        <v>40320</v>
      </c>
      <c r="I743" s="8">
        <f t="shared" si="45"/>
        <v>4030</v>
      </c>
      <c r="J743" s="8">
        <f t="shared" si="46"/>
        <v>44350</v>
      </c>
      <c r="K743" s="8" t="str">
        <f t="shared" si="47"/>
        <v/>
      </c>
    </row>
    <row r="744" spans="2:11">
      <c r="B744" s="7">
        <v>41518</v>
      </c>
      <c r="C744" s="3" t="s">
        <v>41</v>
      </c>
      <c r="D744" s="6" t="s">
        <v>21</v>
      </c>
      <c r="E744" s="3" t="s">
        <v>12</v>
      </c>
      <c r="F744" s="5">
        <v>12</v>
      </c>
      <c r="G744" s="5">
        <v>5820</v>
      </c>
      <c r="H744" s="8">
        <f t="shared" si="44"/>
        <v>69840</v>
      </c>
      <c r="I744" s="8">
        <f t="shared" si="45"/>
        <v>6980</v>
      </c>
      <c r="J744" s="8" t="str">
        <f t="shared" si="46"/>
        <v/>
      </c>
      <c r="K744" s="8">
        <f t="shared" si="47"/>
        <v>76820</v>
      </c>
    </row>
    <row r="745" spans="2:11">
      <c r="B745" s="7">
        <v>41519</v>
      </c>
      <c r="C745" s="3" t="s">
        <v>44</v>
      </c>
      <c r="D745" s="6" t="s">
        <v>13</v>
      </c>
      <c r="E745" s="3" t="s">
        <v>12</v>
      </c>
      <c r="F745" s="5">
        <v>11</v>
      </c>
      <c r="G745" s="5">
        <v>10400</v>
      </c>
      <c r="H745" s="8">
        <f t="shared" si="44"/>
        <v>114400</v>
      </c>
      <c r="I745" s="8">
        <f t="shared" si="45"/>
        <v>11440</v>
      </c>
      <c r="J745" s="8" t="str">
        <f t="shared" si="46"/>
        <v/>
      </c>
      <c r="K745" s="8">
        <f t="shared" si="47"/>
        <v>125840</v>
      </c>
    </row>
    <row r="746" spans="2:11" hidden="1">
      <c r="B746" s="7">
        <v>41519</v>
      </c>
      <c r="C746" s="3" t="s">
        <v>37</v>
      </c>
      <c r="D746" s="6" t="s">
        <v>14</v>
      </c>
      <c r="E746" s="3" t="s">
        <v>0</v>
      </c>
      <c r="F746" s="5">
        <v>27</v>
      </c>
      <c r="G746" s="5">
        <v>3870</v>
      </c>
      <c r="H746" s="8">
        <f t="shared" si="44"/>
        <v>104490</v>
      </c>
      <c r="I746" s="8">
        <f t="shared" si="45"/>
        <v>10440</v>
      </c>
      <c r="J746" s="8">
        <f t="shared" si="46"/>
        <v>114930</v>
      </c>
      <c r="K746" s="8" t="str">
        <f t="shared" si="47"/>
        <v/>
      </c>
    </row>
    <row r="747" spans="2:11" hidden="1">
      <c r="B747" s="7">
        <v>41519</v>
      </c>
      <c r="C747" s="3" t="s">
        <v>36</v>
      </c>
      <c r="D747" s="6" t="s">
        <v>16</v>
      </c>
      <c r="E747" s="3" t="s">
        <v>0</v>
      </c>
      <c r="F747" s="5">
        <v>35</v>
      </c>
      <c r="G747" s="5">
        <v>3430</v>
      </c>
      <c r="H747" s="8">
        <f t="shared" si="44"/>
        <v>120050</v>
      </c>
      <c r="I747" s="8">
        <f t="shared" si="45"/>
        <v>12000</v>
      </c>
      <c r="J747" s="8">
        <f t="shared" si="46"/>
        <v>132050</v>
      </c>
      <c r="K747" s="8" t="str">
        <f t="shared" si="47"/>
        <v/>
      </c>
    </row>
    <row r="748" spans="2:11" hidden="1">
      <c r="B748" s="7">
        <v>41520</v>
      </c>
      <c r="C748" s="3" t="s">
        <v>43</v>
      </c>
      <c r="D748" s="6" t="s">
        <v>27</v>
      </c>
      <c r="E748" s="3" t="s">
        <v>1</v>
      </c>
      <c r="F748" s="5">
        <v>23</v>
      </c>
      <c r="G748" s="5">
        <v>6570</v>
      </c>
      <c r="H748" s="8">
        <f t="shared" si="44"/>
        <v>151110</v>
      </c>
      <c r="I748" s="8">
        <f t="shared" si="45"/>
        <v>15110</v>
      </c>
      <c r="J748" s="8">
        <f t="shared" si="46"/>
        <v>166220</v>
      </c>
      <c r="K748" s="8" t="str">
        <f t="shared" si="47"/>
        <v/>
      </c>
    </row>
    <row r="749" spans="2:11" hidden="1">
      <c r="B749" s="7">
        <v>41520</v>
      </c>
      <c r="C749" s="3" t="s">
        <v>37</v>
      </c>
      <c r="D749" s="6" t="s">
        <v>21</v>
      </c>
      <c r="E749" s="3" t="s">
        <v>0</v>
      </c>
      <c r="F749" s="5">
        <v>17</v>
      </c>
      <c r="G749" s="5">
        <v>4190</v>
      </c>
      <c r="H749" s="8">
        <f t="shared" si="44"/>
        <v>71230</v>
      </c>
      <c r="I749" s="8">
        <f t="shared" si="45"/>
        <v>7120</v>
      </c>
      <c r="J749" s="8">
        <f t="shared" si="46"/>
        <v>78350</v>
      </c>
      <c r="K749" s="8" t="str">
        <f t="shared" si="47"/>
        <v/>
      </c>
    </row>
    <row r="750" spans="2:11" hidden="1">
      <c r="B750" s="7">
        <v>41521</v>
      </c>
      <c r="C750" s="3" t="s">
        <v>44</v>
      </c>
      <c r="D750" s="6" t="s">
        <v>13</v>
      </c>
      <c r="E750" s="3" t="s">
        <v>0</v>
      </c>
      <c r="F750" s="5">
        <v>7</v>
      </c>
      <c r="G750" s="5">
        <v>3160</v>
      </c>
      <c r="H750" s="8">
        <f t="shared" si="44"/>
        <v>22120</v>
      </c>
      <c r="I750" s="8">
        <f t="shared" si="45"/>
        <v>2210</v>
      </c>
      <c r="J750" s="8">
        <f t="shared" si="46"/>
        <v>24330</v>
      </c>
      <c r="K750" s="8" t="str">
        <f t="shared" si="47"/>
        <v/>
      </c>
    </row>
    <row r="751" spans="2:11">
      <c r="B751" s="7">
        <v>41523</v>
      </c>
      <c r="C751" s="3" t="s">
        <v>38</v>
      </c>
      <c r="D751" s="6" t="s">
        <v>14</v>
      </c>
      <c r="E751" s="3" t="s">
        <v>12</v>
      </c>
      <c r="F751" s="5">
        <v>11</v>
      </c>
      <c r="G751" s="5">
        <v>4160</v>
      </c>
      <c r="H751" s="8">
        <f t="shared" si="44"/>
        <v>45760</v>
      </c>
      <c r="I751" s="8">
        <f t="shared" si="45"/>
        <v>4570</v>
      </c>
      <c r="J751" s="8" t="str">
        <f t="shared" si="46"/>
        <v/>
      </c>
      <c r="K751" s="8">
        <f t="shared" si="47"/>
        <v>50330</v>
      </c>
    </row>
    <row r="752" spans="2:11">
      <c r="B752" s="7">
        <v>41523</v>
      </c>
      <c r="C752" s="3" t="s">
        <v>41</v>
      </c>
      <c r="D752" s="6" t="s">
        <v>24</v>
      </c>
      <c r="E752" s="3" t="s">
        <v>12</v>
      </c>
      <c r="F752" s="5">
        <v>21</v>
      </c>
      <c r="G752" s="5">
        <v>7820</v>
      </c>
      <c r="H752" s="8">
        <f t="shared" si="44"/>
        <v>164220</v>
      </c>
      <c r="I752" s="8">
        <f t="shared" si="45"/>
        <v>16420</v>
      </c>
      <c r="J752" s="8" t="str">
        <f t="shared" si="46"/>
        <v/>
      </c>
      <c r="K752" s="8">
        <f t="shared" si="47"/>
        <v>180640</v>
      </c>
    </row>
    <row r="753" spans="2:11" hidden="1">
      <c r="B753" s="7">
        <v>41523</v>
      </c>
      <c r="C753" s="3" t="s">
        <v>45</v>
      </c>
      <c r="D753" s="6" t="s">
        <v>11</v>
      </c>
      <c r="E753" s="3" t="s">
        <v>0</v>
      </c>
      <c r="F753" s="5">
        <v>49</v>
      </c>
      <c r="G753" s="5">
        <v>1810</v>
      </c>
      <c r="H753" s="8">
        <f t="shared" si="44"/>
        <v>88690</v>
      </c>
      <c r="I753" s="8">
        <f t="shared" si="45"/>
        <v>8860</v>
      </c>
      <c r="J753" s="8">
        <f t="shared" si="46"/>
        <v>97550</v>
      </c>
      <c r="K753" s="8" t="str">
        <f t="shared" si="47"/>
        <v/>
      </c>
    </row>
    <row r="754" spans="2:11" hidden="1">
      <c r="B754" s="7">
        <v>41523</v>
      </c>
      <c r="C754" s="3" t="s">
        <v>44</v>
      </c>
      <c r="D754" s="6" t="s">
        <v>24</v>
      </c>
      <c r="E754" s="3" t="s">
        <v>0</v>
      </c>
      <c r="F754" s="5">
        <v>35</v>
      </c>
      <c r="G754" s="5">
        <v>2180</v>
      </c>
      <c r="H754" s="8">
        <f t="shared" si="44"/>
        <v>76300</v>
      </c>
      <c r="I754" s="8">
        <f t="shared" si="45"/>
        <v>7630</v>
      </c>
      <c r="J754" s="8">
        <f t="shared" si="46"/>
        <v>83930</v>
      </c>
      <c r="K754" s="8" t="str">
        <f t="shared" si="47"/>
        <v/>
      </c>
    </row>
    <row r="755" spans="2:11">
      <c r="B755" s="7">
        <v>41524</v>
      </c>
      <c r="C755" s="3" t="s">
        <v>41</v>
      </c>
      <c r="D755" s="6" t="s">
        <v>26</v>
      </c>
      <c r="E755" s="3" t="s">
        <v>12</v>
      </c>
      <c r="F755" s="5">
        <v>19</v>
      </c>
      <c r="G755" s="5">
        <v>8080</v>
      </c>
      <c r="H755" s="8">
        <f t="shared" si="44"/>
        <v>153520</v>
      </c>
      <c r="I755" s="8">
        <f t="shared" si="45"/>
        <v>15350</v>
      </c>
      <c r="J755" s="8" t="str">
        <f t="shared" si="46"/>
        <v/>
      </c>
      <c r="K755" s="8">
        <f t="shared" si="47"/>
        <v>168870</v>
      </c>
    </row>
    <row r="756" spans="2:11" hidden="1">
      <c r="B756" s="7">
        <v>41524</v>
      </c>
      <c r="C756" s="3" t="s">
        <v>39</v>
      </c>
      <c r="D756" s="6" t="s">
        <v>27</v>
      </c>
      <c r="E756" s="3" t="s">
        <v>0</v>
      </c>
      <c r="F756" s="5">
        <v>45</v>
      </c>
      <c r="G756" s="5">
        <v>3770</v>
      </c>
      <c r="H756" s="8">
        <f t="shared" si="44"/>
        <v>169650</v>
      </c>
      <c r="I756" s="8">
        <f t="shared" si="45"/>
        <v>16960</v>
      </c>
      <c r="J756" s="8">
        <f t="shared" si="46"/>
        <v>186610</v>
      </c>
      <c r="K756" s="8" t="str">
        <f t="shared" si="47"/>
        <v/>
      </c>
    </row>
    <row r="757" spans="2:11" hidden="1">
      <c r="B757" s="7">
        <v>41524</v>
      </c>
      <c r="C757" s="3" t="s">
        <v>44</v>
      </c>
      <c r="D757" s="6" t="s">
        <v>22</v>
      </c>
      <c r="E757" s="3" t="s">
        <v>0</v>
      </c>
      <c r="F757" s="5">
        <v>12</v>
      </c>
      <c r="G757" s="5">
        <v>1430</v>
      </c>
      <c r="H757" s="8">
        <f t="shared" si="44"/>
        <v>17160</v>
      </c>
      <c r="I757" s="8">
        <f t="shared" si="45"/>
        <v>1710</v>
      </c>
      <c r="J757" s="8">
        <f t="shared" si="46"/>
        <v>18870</v>
      </c>
      <c r="K757" s="8" t="str">
        <f t="shared" si="47"/>
        <v/>
      </c>
    </row>
    <row r="758" spans="2:11" hidden="1">
      <c r="B758" s="7">
        <v>41524</v>
      </c>
      <c r="C758" s="3" t="s">
        <v>43</v>
      </c>
      <c r="D758" s="6" t="s">
        <v>29</v>
      </c>
      <c r="E758" s="3" t="s">
        <v>0</v>
      </c>
      <c r="F758" s="5">
        <v>49</v>
      </c>
      <c r="G758" s="5">
        <v>1930</v>
      </c>
      <c r="H758" s="8">
        <f t="shared" si="44"/>
        <v>94570</v>
      </c>
      <c r="I758" s="8">
        <f t="shared" si="45"/>
        <v>9450</v>
      </c>
      <c r="J758" s="8">
        <f t="shared" si="46"/>
        <v>104020</v>
      </c>
      <c r="K758" s="8" t="str">
        <f t="shared" si="47"/>
        <v/>
      </c>
    </row>
    <row r="759" spans="2:11">
      <c r="B759" s="7">
        <v>41525</v>
      </c>
      <c r="C759" s="3" t="s">
        <v>44</v>
      </c>
      <c r="D759" s="6" t="s">
        <v>14</v>
      </c>
      <c r="E759" s="3" t="s">
        <v>12</v>
      </c>
      <c r="F759" s="5">
        <v>49</v>
      </c>
      <c r="G759" s="5">
        <v>3670</v>
      </c>
      <c r="H759" s="8">
        <f t="shared" si="44"/>
        <v>179830</v>
      </c>
      <c r="I759" s="8">
        <f t="shared" si="45"/>
        <v>17980</v>
      </c>
      <c r="J759" s="8" t="str">
        <f t="shared" si="46"/>
        <v/>
      </c>
      <c r="K759" s="8">
        <f t="shared" si="47"/>
        <v>197810</v>
      </c>
    </row>
    <row r="760" spans="2:11">
      <c r="B760" s="7">
        <v>41525</v>
      </c>
      <c r="C760" s="3" t="s">
        <v>45</v>
      </c>
      <c r="D760" s="6" t="s">
        <v>22</v>
      </c>
      <c r="E760" s="3" t="s">
        <v>12</v>
      </c>
      <c r="F760" s="5">
        <v>21</v>
      </c>
      <c r="G760" s="5">
        <v>9710</v>
      </c>
      <c r="H760" s="8">
        <f t="shared" si="44"/>
        <v>203910</v>
      </c>
      <c r="I760" s="8">
        <f t="shared" si="45"/>
        <v>20390</v>
      </c>
      <c r="J760" s="8" t="str">
        <f t="shared" si="46"/>
        <v/>
      </c>
      <c r="K760" s="8">
        <f t="shared" si="47"/>
        <v>224300</v>
      </c>
    </row>
    <row r="761" spans="2:11" hidden="1">
      <c r="B761" s="7">
        <v>41525</v>
      </c>
      <c r="C761" s="3" t="s">
        <v>44</v>
      </c>
      <c r="D761" s="6" t="s">
        <v>18</v>
      </c>
      <c r="E761" s="3" t="s">
        <v>0</v>
      </c>
      <c r="F761" s="5">
        <v>13</v>
      </c>
      <c r="G761" s="5">
        <v>5570</v>
      </c>
      <c r="H761" s="8">
        <f t="shared" si="44"/>
        <v>72410</v>
      </c>
      <c r="I761" s="8">
        <f t="shared" si="45"/>
        <v>7240</v>
      </c>
      <c r="J761" s="8">
        <f t="shared" si="46"/>
        <v>79650</v>
      </c>
      <c r="K761" s="8" t="str">
        <f t="shared" si="47"/>
        <v/>
      </c>
    </row>
    <row r="762" spans="2:11">
      <c r="B762" s="7">
        <v>41526</v>
      </c>
      <c r="C762" s="3" t="s">
        <v>41</v>
      </c>
      <c r="D762" s="6" t="s">
        <v>23</v>
      </c>
      <c r="E762" s="3" t="s">
        <v>12</v>
      </c>
      <c r="F762" s="5">
        <v>33</v>
      </c>
      <c r="G762" s="5">
        <v>6950</v>
      </c>
      <c r="H762" s="8">
        <f t="shared" si="44"/>
        <v>229350</v>
      </c>
      <c r="I762" s="8">
        <f t="shared" si="45"/>
        <v>22930</v>
      </c>
      <c r="J762" s="8" t="str">
        <f t="shared" si="46"/>
        <v/>
      </c>
      <c r="K762" s="8">
        <f t="shared" si="47"/>
        <v>252280</v>
      </c>
    </row>
    <row r="763" spans="2:11">
      <c r="B763" s="7">
        <v>41527</v>
      </c>
      <c r="C763" s="3" t="s">
        <v>43</v>
      </c>
      <c r="D763" s="6" t="s">
        <v>18</v>
      </c>
      <c r="E763" s="3" t="s">
        <v>12</v>
      </c>
      <c r="F763" s="5">
        <v>32</v>
      </c>
      <c r="G763" s="5">
        <v>6780</v>
      </c>
      <c r="H763" s="8">
        <f t="shared" si="44"/>
        <v>216960</v>
      </c>
      <c r="I763" s="8">
        <f t="shared" si="45"/>
        <v>21690</v>
      </c>
      <c r="J763" s="8" t="str">
        <f t="shared" si="46"/>
        <v/>
      </c>
      <c r="K763" s="8">
        <f t="shared" si="47"/>
        <v>238650</v>
      </c>
    </row>
    <row r="764" spans="2:11">
      <c r="B764" s="7">
        <v>41527</v>
      </c>
      <c r="C764" s="3" t="s">
        <v>43</v>
      </c>
      <c r="D764" s="6" t="s">
        <v>27</v>
      </c>
      <c r="E764" s="3" t="s">
        <v>12</v>
      </c>
      <c r="F764" s="5">
        <v>21</v>
      </c>
      <c r="G764" s="5">
        <v>10080</v>
      </c>
      <c r="H764" s="8">
        <f t="shared" si="44"/>
        <v>211680</v>
      </c>
      <c r="I764" s="8">
        <f t="shared" si="45"/>
        <v>21160</v>
      </c>
      <c r="J764" s="8" t="str">
        <f t="shared" si="46"/>
        <v/>
      </c>
      <c r="K764" s="8">
        <f t="shared" si="47"/>
        <v>232840</v>
      </c>
    </row>
    <row r="765" spans="2:11" hidden="1">
      <c r="B765" s="7">
        <v>41527</v>
      </c>
      <c r="C765" s="3" t="s">
        <v>38</v>
      </c>
      <c r="D765" s="6" t="s">
        <v>16</v>
      </c>
      <c r="E765" s="3" t="s">
        <v>0</v>
      </c>
      <c r="F765" s="5">
        <v>39</v>
      </c>
      <c r="G765" s="5">
        <v>3140</v>
      </c>
      <c r="H765" s="8">
        <f t="shared" si="44"/>
        <v>122460</v>
      </c>
      <c r="I765" s="8">
        <f t="shared" si="45"/>
        <v>12240</v>
      </c>
      <c r="J765" s="8">
        <f t="shared" si="46"/>
        <v>134700</v>
      </c>
      <c r="K765" s="8" t="str">
        <f t="shared" si="47"/>
        <v/>
      </c>
    </row>
    <row r="766" spans="2:11" hidden="1">
      <c r="B766" s="7">
        <v>41527</v>
      </c>
      <c r="C766" s="3" t="s">
        <v>44</v>
      </c>
      <c r="D766" s="6" t="s">
        <v>25</v>
      </c>
      <c r="E766" s="3" t="s">
        <v>0</v>
      </c>
      <c r="F766" s="5">
        <v>45</v>
      </c>
      <c r="G766" s="5">
        <v>4920</v>
      </c>
      <c r="H766" s="8">
        <f t="shared" si="44"/>
        <v>221400</v>
      </c>
      <c r="I766" s="8">
        <f t="shared" si="45"/>
        <v>22140</v>
      </c>
      <c r="J766" s="8">
        <f t="shared" si="46"/>
        <v>243540</v>
      </c>
      <c r="K766" s="8" t="str">
        <f t="shared" si="47"/>
        <v/>
      </c>
    </row>
    <row r="767" spans="2:11" hidden="1">
      <c r="B767" s="7">
        <v>41527</v>
      </c>
      <c r="C767" s="3" t="s">
        <v>37</v>
      </c>
      <c r="D767" s="6" t="s">
        <v>25</v>
      </c>
      <c r="E767" s="3" t="s">
        <v>0</v>
      </c>
      <c r="F767" s="5">
        <v>50</v>
      </c>
      <c r="G767" s="5">
        <v>5070</v>
      </c>
      <c r="H767" s="8">
        <f t="shared" si="44"/>
        <v>253500</v>
      </c>
      <c r="I767" s="8">
        <f t="shared" si="45"/>
        <v>25350</v>
      </c>
      <c r="J767" s="8">
        <f t="shared" si="46"/>
        <v>278850</v>
      </c>
      <c r="K767" s="8" t="str">
        <f t="shared" si="47"/>
        <v/>
      </c>
    </row>
    <row r="768" spans="2:11" hidden="1">
      <c r="B768" s="7">
        <v>41528</v>
      </c>
      <c r="C768" s="3" t="s">
        <v>39</v>
      </c>
      <c r="D768" s="6" t="s">
        <v>13</v>
      </c>
      <c r="E768" s="3" t="s">
        <v>0</v>
      </c>
      <c r="F768" s="5">
        <v>6</v>
      </c>
      <c r="G768" s="5">
        <v>3600</v>
      </c>
      <c r="H768" s="8">
        <f t="shared" si="44"/>
        <v>21600</v>
      </c>
      <c r="I768" s="8">
        <f t="shared" si="45"/>
        <v>2160</v>
      </c>
      <c r="J768" s="8">
        <f t="shared" si="46"/>
        <v>23760</v>
      </c>
      <c r="K768" s="8" t="str">
        <f t="shared" si="47"/>
        <v/>
      </c>
    </row>
    <row r="769" spans="2:11">
      <c r="B769" s="7">
        <v>41529</v>
      </c>
      <c r="C769" s="3" t="s">
        <v>45</v>
      </c>
      <c r="D769" s="6" t="s">
        <v>26</v>
      </c>
      <c r="E769" s="3" t="s">
        <v>12</v>
      </c>
      <c r="F769" s="5">
        <v>27</v>
      </c>
      <c r="G769" s="5">
        <v>9830</v>
      </c>
      <c r="H769" s="8">
        <f t="shared" si="44"/>
        <v>265410</v>
      </c>
      <c r="I769" s="8">
        <f t="shared" si="45"/>
        <v>26540</v>
      </c>
      <c r="J769" s="8" t="str">
        <f t="shared" si="46"/>
        <v/>
      </c>
      <c r="K769" s="8">
        <f t="shared" si="47"/>
        <v>291950</v>
      </c>
    </row>
    <row r="770" spans="2:11" hidden="1">
      <c r="B770" s="7">
        <v>41529</v>
      </c>
      <c r="C770" s="3" t="s">
        <v>36</v>
      </c>
      <c r="D770" s="6" t="s">
        <v>17</v>
      </c>
      <c r="E770" s="3" t="s">
        <v>1</v>
      </c>
      <c r="F770" s="5">
        <v>29</v>
      </c>
      <c r="G770" s="5">
        <v>19070</v>
      </c>
      <c r="H770" s="8">
        <f t="shared" si="44"/>
        <v>553030</v>
      </c>
      <c r="I770" s="8">
        <f t="shared" si="45"/>
        <v>55300</v>
      </c>
      <c r="J770" s="8">
        <f t="shared" si="46"/>
        <v>608330</v>
      </c>
      <c r="K770" s="8" t="str">
        <f t="shared" si="47"/>
        <v/>
      </c>
    </row>
    <row r="771" spans="2:11">
      <c r="B771" s="7">
        <v>41530</v>
      </c>
      <c r="C771" s="3" t="s">
        <v>39</v>
      </c>
      <c r="D771" s="6" t="s">
        <v>16</v>
      </c>
      <c r="E771" s="3" t="s">
        <v>12</v>
      </c>
      <c r="F771" s="5">
        <v>47</v>
      </c>
      <c r="G771" s="5">
        <v>10410</v>
      </c>
      <c r="H771" s="8">
        <f t="shared" si="44"/>
        <v>489270</v>
      </c>
      <c r="I771" s="8">
        <f t="shared" si="45"/>
        <v>48920</v>
      </c>
      <c r="J771" s="8" t="str">
        <f t="shared" si="46"/>
        <v/>
      </c>
      <c r="K771" s="8">
        <f t="shared" si="47"/>
        <v>538190</v>
      </c>
    </row>
    <row r="772" spans="2:11" hidden="1">
      <c r="B772" s="7">
        <v>41530</v>
      </c>
      <c r="C772" s="3" t="s">
        <v>44</v>
      </c>
      <c r="D772" s="6" t="s">
        <v>29</v>
      </c>
      <c r="E772" s="3" t="s">
        <v>0</v>
      </c>
      <c r="F772" s="5">
        <v>5</v>
      </c>
      <c r="G772" s="5">
        <v>1810</v>
      </c>
      <c r="H772" s="8">
        <f t="shared" si="44"/>
        <v>9050</v>
      </c>
      <c r="I772" s="8">
        <f t="shared" si="45"/>
        <v>900</v>
      </c>
      <c r="J772" s="8">
        <f t="shared" si="46"/>
        <v>9950</v>
      </c>
      <c r="K772" s="8" t="str">
        <f t="shared" si="47"/>
        <v/>
      </c>
    </row>
    <row r="773" spans="2:11" hidden="1">
      <c r="B773" s="7">
        <v>41530</v>
      </c>
      <c r="C773" s="3" t="s">
        <v>36</v>
      </c>
      <c r="D773" s="6" t="s">
        <v>24</v>
      </c>
      <c r="E773" s="3" t="s">
        <v>0</v>
      </c>
      <c r="F773" s="5">
        <v>46</v>
      </c>
      <c r="G773" s="5">
        <v>3190</v>
      </c>
      <c r="H773" s="8">
        <f t="shared" si="44"/>
        <v>146740</v>
      </c>
      <c r="I773" s="8">
        <f t="shared" si="45"/>
        <v>14670</v>
      </c>
      <c r="J773" s="8">
        <f t="shared" si="46"/>
        <v>161410</v>
      </c>
      <c r="K773" s="8" t="str">
        <f t="shared" si="47"/>
        <v/>
      </c>
    </row>
    <row r="774" spans="2:11" hidden="1">
      <c r="B774" s="7">
        <v>41530</v>
      </c>
      <c r="C774" s="3" t="s">
        <v>43</v>
      </c>
      <c r="D774" s="6" t="s">
        <v>28</v>
      </c>
      <c r="E774" s="3" t="s">
        <v>0</v>
      </c>
      <c r="F774" s="5">
        <v>38</v>
      </c>
      <c r="G774" s="5">
        <v>4180</v>
      </c>
      <c r="H774" s="8">
        <f t="shared" si="44"/>
        <v>158840</v>
      </c>
      <c r="I774" s="8">
        <f t="shared" si="45"/>
        <v>15880</v>
      </c>
      <c r="J774" s="8">
        <f t="shared" si="46"/>
        <v>174720</v>
      </c>
      <c r="K774" s="8" t="str">
        <f t="shared" si="47"/>
        <v/>
      </c>
    </row>
    <row r="775" spans="2:11">
      <c r="B775" s="7">
        <v>41531</v>
      </c>
      <c r="C775" s="3" t="s">
        <v>42</v>
      </c>
      <c r="D775" s="6" t="s">
        <v>18</v>
      </c>
      <c r="E775" s="3" t="s">
        <v>12</v>
      </c>
      <c r="F775" s="5">
        <v>25</v>
      </c>
      <c r="G775" s="5">
        <v>10660</v>
      </c>
      <c r="H775" s="8">
        <f t="shared" si="44"/>
        <v>266500</v>
      </c>
      <c r="I775" s="8">
        <f t="shared" si="45"/>
        <v>26650</v>
      </c>
      <c r="J775" s="8" t="str">
        <f t="shared" si="46"/>
        <v/>
      </c>
      <c r="K775" s="8">
        <f t="shared" si="47"/>
        <v>293150</v>
      </c>
    </row>
    <row r="776" spans="2:11">
      <c r="B776" s="7">
        <v>41531</v>
      </c>
      <c r="C776" s="3" t="s">
        <v>36</v>
      </c>
      <c r="D776" s="6" t="s">
        <v>25</v>
      </c>
      <c r="E776" s="3" t="s">
        <v>12</v>
      </c>
      <c r="F776" s="5">
        <v>28</v>
      </c>
      <c r="G776" s="5">
        <v>11010</v>
      </c>
      <c r="H776" s="8">
        <f t="shared" si="44"/>
        <v>308280</v>
      </c>
      <c r="I776" s="8">
        <f t="shared" si="45"/>
        <v>30820</v>
      </c>
      <c r="J776" s="8" t="str">
        <f t="shared" si="46"/>
        <v/>
      </c>
      <c r="K776" s="8">
        <f t="shared" si="47"/>
        <v>339100</v>
      </c>
    </row>
    <row r="777" spans="2:11">
      <c r="B777" s="7">
        <v>41531</v>
      </c>
      <c r="C777" s="3" t="s">
        <v>37</v>
      </c>
      <c r="D777" s="6" t="s">
        <v>17</v>
      </c>
      <c r="E777" s="3" t="s">
        <v>12</v>
      </c>
      <c r="F777" s="5">
        <v>18</v>
      </c>
      <c r="G777" s="5">
        <v>16500</v>
      </c>
      <c r="H777" s="8">
        <f t="shared" si="44"/>
        <v>297000</v>
      </c>
      <c r="I777" s="8">
        <f t="shared" si="45"/>
        <v>29700</v>
      </c>
      <c r="J777" s="8" t="str">
        <f t="shared" si="46"/>
        <v/>
      </c>
      <c r="K777" s="8">
        <f t="shared" si="47"/>
        <v>326700</v>
      </c>
    </row>
    <row r="778" spans="2:11">
      <c r="B778" s="7">
        <v>41532</v>
      </c>
      <c r="C778" s="3" t="s">
        <v>43</v>
      </c>
      <c r="D778" s="6" t="s">
        <v>29</v>
      </c>
      <c r="E778" s="3" t="s">
        <v>12</v>
      </c>
      <c r="F778" s="5">
        <v>40</v>
      </c>
      <c r="G778" s="5">
        <v>6070</v>
      </c>
      <c r="H778" s="8">
        <f t="shared" si="44"/>
        <v>242800</v>
      </c>
      <c r="I778" s="8">
        <f t="shared" si="45"/>
        <v>24280</v>
      </c>
      <c r="J778" s="8" t="str">
        <f t="shared" si="46"/>
        <v/>
      </c>
      <c r="K778" s="8">
        <f t="shared" si="47"/>
        <v>267080</v>
      </c>
    </row>
    <row r="779" spans="2:11" hidden="1">
      <c r="B779" s="7">
        <v>41532</v>
      </c>
      <c r="C779" s="3" t="s">
        <v>44</v>
      </c>
      <c r="D779" s="6" t="s">
        <v>19</v>
      </c>
      <c r="E779" s="3" t="s">
        <v>0</v>
      </c>
      <c r="F779" s="5">
        <v>12</v>
      </c>
      <c r="G779" s="5">
        <v>2770</v>
      </c>
      <c r="H779" s="8">
        <f t="shared" si="44"/>
        <v>33240</v>
      </c>
      <c r="I779" s="8">
        <f t="shared" si="45"/>
        <v>3320</v>
      </c>
      <c r="J779" s="8">
        <f t="shared" si="46"/>
        <v>36560</v>
      </c>
      <c r="K779" s="8" t="str">
        <f t="shared" si="47"/>
        <v/>
      </c>
    </row>
    <row r="780" spans="2:11" hidden="1">
      <c r="B780" s="7">
        <v>41532</v>
      </c>
      <c r="C780" s="3" t="s">
        <v>41</v>
      </c>
      <c r="D780" s="6" t="s">
        <v>16</v>
      </c>
      <c r="E780" s="3" t="s">
        <v>0</v>
      </c>
      <c r="F780" s="5">
        <v>41</v>
      </c>
      <c r="G780" s="5">
        <v>2840</v>
      </c>
      <c r="H780" s="8">
        <f t="shared" si="44"/>
        <v>116440</v>
      </c>
      <c r="I780" s="8">
        <f t="shared" si="45"/>
        <v>11640</v>
      </c>
      <c r="J780" s="8">
        <f t="shared" si="46"/>
        <v>128080</v>
      </c>
      <c r="K780" s="8" t="str">
        <f t="shared" si="47"/>
        <v/>
      </c>
    </row>
    <row r="781" spans="2:11" hidden="1">
      <c r="B781" s="7">
        <v>41532</v>
      </c>
      <c r="C781" s="3" t="s">
        <v>37</v>
      </c>
      <c r="D781" s="6" t="s">
        <v>29</v>
      </c>
      <c r="E781" s="3" t="s">
        <v>0</v>
      </c>
      <c r="F781" s="5">
        <v>41</v>
      </c>
      <c r="G781" s="5">
        <v>4190</v>
      </c>
      <c r="H781" s="8">
        <f t="shared" ref="H781:H844" si="48">F781*G781</f>
        <v>171790</v>
      </c>
      <c r="I781" s="8">
        <f t="shared" ref="I781:I844" si="49">TRUNC(H781*10%,-1)</f>
        <v>17170</v>
      </c>
      <c r="J781" s="8">
        <f t="shared" ref="J781:J844" si="50">IF(E781="매입",H781+I781,"")</f>
        <v>188960</v>
      </c>
      <c r="K781" s="8" t="str">
        <f t="shared" ref="K781:K844" si="51">IF(E781="매출",H781+I781,"")</f>
        <v/>
      </c>
    </row>
    <row r="782" spans="2:11">
      <c r="B782" s="7">
        <v>41533</v>
      </c>
      <c r="C782" s="3" t="s">
        <v>36</v>
      </c>
      <c r="D782" s="6" t="s">
        <v>24</v>
      </c>
      <c r="E782" s="3" t="s">
        <v>12</v>
      </c>
      <c r="F782" s="5">
        <v>32</v>
      </c>
      <c r="G782" s="5">
        <v>5940</v>
      </c>
      <c r="H782" s="8">
        <f t="shared" si="48"/>
        <v>190080</v>
      </c>
      <c r="I782" s="8">
        <f t="shared" si="49"/>
        <v>19000</v>
      </c>
      <c r="J782" s="8" t="str">
        <f t="shared" si="50"/>
        <v/>
      </c>
      <c r="K782" s="8">
        <f t="shared" si="51"/>
        <v>209080</v>
      </c>
    </row>
    <row r="783" spans="2:11">
      <c r="B783" s="7">
        <v>41533</v>
      </c>
      <c r="C783" s="3" t="s">
        <v>44</v>
      </c>
      <c r="D783" s="6" t="s">
        <v>16</v>
      </c>
      <c r="E783" s="3" t="s">
        <v>12</v>
      </c>
      <c r="F783" s="5">
        <v>7</v>
      </c>
      <c r="G783" s="5">
        <v>13090</v>
      </c>
      <c r="H783" s="8">
        <f t="shared" si="48"/>
        <v>91630</v>
      </c>
      <c r="I783" s="8">
        <f t="shared" si="49"/>
        <v>9160</v>
      </c>
      <c r="J783" s="8" t="str">
        <f t="shared" si="50"/>
        <v/>
      </c>
      <c r="K783" s="8">
        <f t="shared" si="51"/>
        <v>100790</v>
      </c>
    </row>
    <row r="784" spans="2:11" hidden="1">
      <c r="B784" s="7">
        <v>41534</v>
      </c>
      <c r="C784" s="3" t="s">
        <v>44</v>
      </c>
      <c r="D784" s="6" t="s">
        <v>21</v>
      </c>
      <c r="E784" s="3" t="s">
        <v>0</v>
      </c>
      <c r="F784" s="5">
        <v>38</v>
      </c>
      <c r="G784" s="5">
        <v>1680</v>
      </c>
      <c r="H784" s="8">
        <f t="shared" si="48"/>
        <v>63840</v>
      </c>
      <c r="I784" s="8">
        <f t="shared" si="49"/>
        <v>6380</v>
      </c>
      <c r="J784" s="8">
        <f t="shared" si="50"/>
        <v>70220</v>
      </c>
      <c r="K784" s="8" t="str">
        <f t="shared" si="51"/>
        <v/>
      </c>
    </row>
    <row r="785" spans="2:11" hidden="1">
      <c r="B785" s="7">
        <v>41535</v>
      </c>
      <c r="C785" s="3" t="s">
        <v>37</v>
      </c>
      <c r="D785" s="6" t="s">
        <v>19</v>
      </c>
      <c r="E785" s="3" t="s">
        <v>1</v>
      </c>
      <c r="F785" s="5">
        <v>40</v>
      </c>
      <c r="G785" s="5">
        <v>6320</v>
      </c>
      <c r="H785" s="8">
        <f t="shared" si="48"/>
        <v>252800</v>
      </c>
      <c r="I785" s="8">
        <f t="shared" si="49"/>
        <v>25280</v>
      </c>
      <c r="J785" s="8">
        <f t="shared" si="50"/>
        <v>278080</v>
      </c>
      <c r="K785" s="8" t="str">
        <f t="shared" si="51"/>
        <v/>
      </c>
    </row>
    <row r="786" spans="2:11" hidden="1">
      <c r="B786" s="7">
        <v>41535</v>
      </c>
      <c r="C786" s="3" t="s">
        <v>43</v>
      </c>
      <c r="D786" s="6" t="s">
        <v>28</v>
      </c>
      <c r="E786" s="3" t="s">
        <v>0</v>
      </c>
      <c r="F786" s="5">
        <v>16</v>
      </c>
      <c r="G786" s="5">
        <v>2990</v>
      </c>
      <c r="H786" s="8">
        <f t="shared" si="48"/>
        <v>47840</v>
      </c>
      <c r="I786" s="8">
        <f t="shared" si="49"/>
        <v>4780</v>
      </c>
      <c r="J786" s="8">
        <f t="shared" si="50"/>
        <v>52620</v>
      </c>
      <c r="K786" s="8" t="str">
        <f t="shared" si="51"/>
        <v/>
      </c>
    </row>
    <row r="787" spans="2:11" hidden="1">
      <c r="B787" s="7">
        <v>41535</v>
      </c>
      <c r="C787" s="3" t="s">
        <v>41</v>
      </c>
      <c r="D787" s="6" t="s">
        <v>29</v>
      </c>
      <c r="E787" s="3" t="s">
        <v>0</v>
      </c>
      <c r="F787" s="5">
        <v>26</v>
      </c>
      <c r="G787" s="5">
        <v>3810</v>
      </c>
      <c r="H787" s="8">
        <f t="shared" si="48"/>
        <v>99060</v>
      </c>
      <c r="I787" s="8">
        <f t="shared" si="49"/>
        <v>9900</v>
      </c>
      <c r="J787" s="8">
        <f t="shared" si="50"/>
        <v>108960</v>
      </c>
      <c r="K787" s="8" t="str">
        <f t="shared" si="51"/>
        <v/>
      </c>
    </row>
    <row r="788" spans="2:11" hidden="1">
      <c r="B788" s="7">
        <v>41535</v>
      </c>
      <c r="C788" s="3" t="s">
        <v>37</v>
      </c>
      <c r="D788" s="6" t="s">
        <v>25</v>
      </c>
      <c r="E788" s="3" t="s">
        <v>0</v>
      </c>
      <c r="F788" s="5">
        <v>16</v>
      </c>
      <c r="G788" s="5">
        <v>4320</v>
      </c>
      <c r="H788" s="8">
        <f t="shared" si="48"/>
        <v>69120</v>
      </c>
      <c r="I788" s="8">
        <f t="shared" si="49"/>
        <v>6910</v>
      </c>
      <c r="J788" s="8">
        <f t="shared" si="50"/>
        <v>76030</v>
      </c>
      <c r="K788" s="8" t="str">
        <f t="shared" si="51"/>
        <v/>
      </c>
    </row>
    <row r="789" spans="2:11">
      <c r="B789" s="7">
        <v>41536</v>
      </c>
      <c r="C789" s="3" t="s">
        <v>40</v>
      </c>
      <c r="D789" s="6" t="s">
        <v>11</v>
      </c>
      <c r="E789" s="3" t="s">
        <v>12</v>
      </c>
      <c r="F789" s="5">
        <v>13</v>
      </c>
      <c r="G789" s="5">
        <v>5940</v>
      </c>
      <c r="H789" s="8">
        <f t="shared" si="48"/>
        <v>77220</v>
      </c>
      <c r="I789" s="8">
        <f t="shared" si="49"/>
        <v>7720</v>
      </c>
      <c r="J789" s="8" t="str">
        <f t="shared" si="50"/>
        <v/>
      </c>
      <c r="K789" s="8">
        <f t="shared" si="51"/>
        <v>84940</v>
      </c>
    </row>
    <row r="790" spans="2:11">
      <c r="B790" s="7">
        <v>41536</v>
      </c>
      <c r="C790" s="3" t="s">
        <v>38</v>
      </c>
      <c r="D790" s="6" t="s">
        <v>24</v>
      </c>
      <c r="E790" s="3" t="s">
        <v>12</v>
      </c>
      <c r="F790" s="5">
        <v>21</v>
      </c>
      <c r="G790" s="5">
        <v>7070</v>
      </c>
      <c r="H790" s="8">
        <f t="shared" si="48"/>
        <v>148470</v>
      </c>
      <c r="I790" s="8">
        <f t="shared" si="49"/>
        <v>14840</v>
      </c>
      <c r="J790" s="8" t="str">
        <f t="shared" si="50"/>
        <v/>
      </c>
      <c r="K790" s="8">
        <f t="shared" si="51"/>
        <v>163310</v>
      </c>
    </row>
    <row r="791" spans="2:11">
      <c r="B791" s="7">
        <v>41536</v>
      </c>
      <c r="C791" s="3" t="s">
        <v>41</v>
      </c>
      <c r="D791" s="6" t="s">
        <v>22</v>
      </c>
      <c r="E791" s="3" t="s">
        <v>12</v>
      </c>
      <c r="F791" s="5">
        <v>23</v>
      </c>
      <c r="G791" s="5">
        <v>7320</v>
      </c>
      <c r="H791" s="8">
        <f t="shared" si="48"/>
        <v>168360</v>
      </c>
      <c r="I791" s="8">
        <f t="shared" si="49"/>
        <v>16830</v>
      </c>
      <c r="J791" s="8" t="str">
        <f t="shared" si="50"/>
        <v/>
      </c>
      <c r="K791" s="8">
        <f t="shared" si="51"/>
        <v>185190</v>
      </c>
    </row>
    <row r="792" spans="2:11">
      <c r="B792" s="7">
        <v>41536</v>
      </c>
      <c r="C792" s="3" t="s">
        <v>43</v>
      </c>
      <c r="D792" s="6" t="s">
        <v>13</v>
      </c>
      <c r="E792" s="3" t="s">
        <v>12</v>
      </c>
      <c r="F792" s="5">
        <v>13</v>
      </c>
      <c r="G792" s="5">
        <v>9320</v>
      </c>
      <c r="H792" s="8">
        <f t="shared" si="48"/>
        <v>121160</v>
      </c>
      <c r="I792" s="8">
        <f t="shared" si="49"/>
        <v>12110</v>
      </c>
      <c r="J792" s="8" t="str">
        <f t="shared" si="50"/>
        <v/>
      </c>
      <c r="K792" s="8">
        <f t="shared" si="51"/>
        <v>133270</v>
      </c>
    </row>
    <row r="793" spans="2:11">
      <c r="B793" s="7">
        <v>41536</v>
      </c>
      <c r="C793" s="3" t="s">
        <v>40</v>
      </c>
      <c r="D793" s="6" t="s">
        <v>21</v>
      </c>
      <c r="E793" s="3" t="s">
        <v>12</v>
      </c>
      <c r="F793" s="5">
        <v>28</v>
      </c>
      <c r="G793" s="5">
        <v>9710</v>
      </c>
      <c r="H793" s="8">
        <f t="shared" si="48"/>
        <v>271880</v>
      </c>
      <c r="I793" s="8">
        <f t="shared" si="49"/>
        <v>27180</v>
      </c>
      <c r="J793" s="8" t="str">
        <f t="shared" si="50"/>
        <v/>
      </c>
      <c r="K793" s="8">
        <f t="shared" si="51"/>
        <v>299060</v>
      </c>
    </row>
    <row r="794" spans="2:11" hidden="1">
      <c r="B794" s="7">
        <v>41536</v>
      </c>
      <c r="C794" s="3" t="s">
        <v>38</v>
      </c>
      <c r="D794" s="6" t="s">
        <v>14</v>
      </c>
      <c r="E794" s="3" t="s">
        <v>0</v>
      </c>
      <c r="F794" s="5">
        <v>11</v>
      </c>
      <c r="G794" s="5">
        <v>2810</v>
      </c>
      <c r="H794" s="8">
        <f t="shared" si="48"/>
        <v>30910</v>
      </c>
      <c r="I794" s="8">
        <f t="shared" si="49"/>
        <v>3090</v>
      </c>
      <c r="J794" s="8">
        <f t="shared" si="50"/>
        <v>34000</v>
      </c>
      <c r="K794" s="8" t="str">
        <f t="shared" si="51"/>
        <v/>
      </c>
    </row>
    <row r="795" spans="2:11" hidden="1">
      <c r="B795" s="7">
        <v>41536</v>
      </c>
      <c r="C795" s="3" t="s">
        <v>39</v>
      </c>
      <c r="D795" s="6" t="s">
        <v>15</v>
      </c>
      <c r="E795" s="3" t="s">
        <v>0</v>
      </c>
      <c r="F795" s="5">
        <v>40</v>
      </c>
      <c r="G795" s="5">
        <v>2310</v>
      </c>
      <c r="H795" s="8">
        <f t="shared" si="48"/>
        <v>92400</v>
      </c>
      <c r="I795" s="8">
        <f t="shared" si="49"/>
        <v>9240</v>
      </c>
      <c r="J795" s="8">
        <f t="shared" si="50"/>
        <v>101640</v>
      </c>
      <c r="K795" s="8" t="str">
        <f t="shared" si="51"/>
        <v/>
      </c>
    </row>
    <row r="796" spans="2:11" hidden="1">
      <c r="B796" s="7">
        <v>41536</v>
      </c>
      <c r="C796" s="3" t="s">
        <v>40</v>
      </c>
      <c r="D796" s="6" t="s">
        <v>27</v>
      </c>
      <c r="E796" s="3" t="s">
        <v>0</v>
      </c>
      <c r="F796" s="5">
        <v>17</v>
      </c>
      <c r="G796" s="5">
        <v>3060</v>
      </c>
      <c r="H796" s="8">
        <f t="shared" si="48"/>
        <v>52020</v>
      </c>
      <c r="I796" s="8">
        <f t="shared" si="49"/>
        <v>5200</v>
      </c>
      <c r="J796" s="8">
        <f t="shared" si="50"/>
        <v>57220</v>
      </c>
      <c r="K796" s="8" t="str">
        <f t="shared" si="51"/>
        <v/>
      </c>
    </row>
    <row r="797" spans="2:11" hidden="1">
      <c r="B797" s="7">
        <v>41536</v>
      </c>
      <c r="C797" s="3" t="s">
        <v>40</v>
      </c>
      <c r="D797" s="6" t="s">
        <v>17</v>
      </c>
      <c r="E797" s="3" t="s">
        <v>0</v>
      </c>
      <c r="F797" s="5">
        <v>31</v>
      </c>
      <c r="G797" s="5">
        <v>6660</v>
      </c>
      <c r="H797" s="8">
        <f t="shared" si="48"/>
        <v>206460</v>
      </c>
      <c r="I797" s="8">
        <f t="shared" si="49"/>
        <v>20640</v>
      </c>
      <c r="J797" s="8">
        <f t="shared" si="50"/>
        <v>227100</v>
      </c>
      <c r="K797" s="8" t="str">
        <f t="shared" si="51"/>
        <v/>
      </c>
    </row>
    <row r="798" spans="2:11" hidden="1">
      <c r="B798" s="7">
        <v>41537</v>
      </c>
      <c r="C798" s="3" t="s">
        <v>40</v>
      </c>
      <c r="D798" s="6" t="s">
        <v>16</v>
      </c>
      <c r="E798" s="3" t="s">
        <v>0</v>
      </c>
      <c r="F798" s="5">
        <v>46</v>
      </c>
      <c r="G798" s="5">
        <v>2240</v>
      </c>
      <c r="H798" s="8">
        <f t="shared" si="48"/>
        <v>103040</v>
      </c>
      <c r="I798" s="8">
        <f t="shared" si="49"/>
        <v>10300</v>
      </c>
      <c r="J798" s="8">
        <f t="shared" si="50"/>
        <v>113340</v>
      </c>
      <c r="K798" s="8" t="str">
        <f t="shared" si="51"/>
        <v/>
      </c>
    </row>
    <row r="799" spans="2:11">
      <c r="B799" s="7">
        <v>41538</v>
      </c>
      <c r="C799" s="3" t="s">
        <v>37</v>
      </c>
      <c r="D799" s="6" t="s">
        <v>14</v>
      </c>
      <c r="E799" s="3" t="s">
        <v>12</v>
      </c>
      <c r="F799" s="5">
        <v>7</v>
      </c>
      <c r="G799" s="5">
        <v>4940</v>
      </c>
      <c r="H799" s="8">
        <f t="shared" si="48"/>
        <v>34580</v>
      </c>
      <c r="I799" s="8">
        <f t="shared" si="49"/>
        <v>3450</v>
      </c>
      <c r="J799" s="8" t="str">
        <f t="shared" si="50"/>
        <v/>
      </c>
      <c r="K799" s="8">
        <f t="shared" si="51"/>
        <v>38030</v>
      </c>
    </row>
    <row r="800" spans="2:11">
      <c r="B800" s="7">
        <v>41538</v>
      </c>
      <c r="C800" s="3" t="s">
        <v>39</v>
      </c>
      <c r="D800" s="6" t="s">
        <v>15</v>
      </c>
      <c r="E800" s="3" t="s">
        <v>12</v>
      </c>
      <c r="F800" s="5">
        <v>12</v>
      </c>
      <c r="G800" s="5">
        <v>5820</v>
      </c>
      <c r="H800" s="8">
        <f t="shared" si="48"/>
        <v>69840</v>
      </c>
      <c r="I800" s="8">
        <f t="shared" si="49"/>
        <v>6980</v>
      </c>
      <c r="J800" s="8" t="str">
        <f t="shared" si="50"/>
        <v/>
      </c>
      <c r="K800" s="8">
        <f t="shared" si="51"/>
        <v>76820</v>
      </c>
    </row>
    <row r="801" spans="2:11" hidden="1">
      <c r="B801" s="7">
        <v>41538</v>
      </c>
      <c r="C801" s="3" t="s">
        <v>40</v>
      </c>
      <c r="D801" s="6" t="s">
        <v>18</v>
      </c>
      <c r="E801" s="3" t="s">
        <v>1</v>
      </c>
      <c r="F801" s="5">
        <v>36</v>
      </c>
      <c r="G801" s="5">
        <v>10130</v>
      </c>
      <c r="H801" s="8">
        <f t="shared" si="48"/>
        <v>364680</v>
      </c>
      <c r="I801" s="8">
        <f t="shared" si="49"/>
        <v>36460</v>
      </c>
      <c r="J801" s="8">
        <f t="shared" si="50"/>
        <v>401140</v>
      </c>
      <c r="K801" s="8" t="str">
        <f t="shared" si="51"/>
        <v/>
      </c>
    </row>
    <row r="802" spans="2:11">
      <c r="B802" s="7">
        <v>41539</v>
      </c>
      <c r="C802" s="3" t="s">
        <v>41</v>
      </c>
      <c r="D802" s="6" t="s">
        <v>14</v>
      </c>
      <c r="E802" s="3" t="s">
        <v>12</v>
      </c>
      <c r="F802" s="5">
        <v>20</v>
      </c>
      <c r="G802" s="5">
        <v>6000</v>
      </c>
      <c r="H802" s="8">
        <f t="shared" si="48"/>
        <v>120000</v>
      </c>
      <c r="I802" s="8">
        <f t="shared" si="49"/>
        <v>12000</v>
      </c>
      <c r="J802" s="8" t="str">
        <f t="shared" si="50"/>
        <v/>
      </c>
      <c r="K802" s="8">
        <f t="shared" si="51"/>
        <v>132000</v>
      </c>
    </row>
    <row r="803" spans="2:11" hidden="1">
      <c r="B803" s="7">
        <v>41539</v>
      </c>
      <c r="C803" s="3" t="s">
        <v>43</v>
      </c>
      <c r="D803" s="6" t="s">
        <v>15</v>
      </c>
      <c r="E803" s="3" t="s">
        <v>1</v>
      </c>
      <c r="F803" s="5">
        <v>10</v>
      </c>
      <c r="G803" s="5">
        <v>7200</v>
      </c>
      <c r="H803" s="8">
        <f t="shared" si="48"/>
        <v>72000</v>
      </c>
      <c r="I803" s="8">
        <f t="shared" si="49"/>
        <v>7200</v>
      </c>
      <c r="J803" s="8">
        <f t="shared" si="50"/>
        <v>79200</v>
      </c>
      <c r="K803" s="8" t="str">
        <f t="shared" si="51"/>
        <v/>
      </c>
    </row>
    <row r="804" spans="2:11">
      <c r="B804" s="7">
        <v>41539</v>
      </c>
      <c r="C804" s="3" t="s">
        <v>38</v>
      </c>
      <c r="D804" s="6" t="s">
        <v>18</v>
      </c>
      <c r="E804" s="3" t="s">
        <v>12</v>
      </c>
      <c r="F804" s="5">
        <v>30</v>
      </c>
      <c r="G804" s="5">
        <v>8520</v>
      </c>
      <c r="H804" s="8">
        <f t="shared" si="48"/>
        <v>255600</v>
      </c>
      <c r="I804" s="8">
        <f t="shared" si="49"/>
        <v>25560</v>
      </c>
      <c r="J804" s="8" t="str">
        <f t="shared" si="50"/>
        <v/>
      </c>
      <c r="K804" s="8">
        <f t="shared" si="51"/>
        <v>281160</v>
      </c>
    </row>
    <row r="805" spans="2:11" hidden="1">
      <c r="B805" s="7">
        <v>41539</v>
      </c>
      <c r="C805" s="3" t="s">
        <v>37</v>
      </c>
      <c r="D805" s="6" t="s">
        <v>13</v>
      </c>
      <c r="E805" s="3" t="s">
        <v>0</v>
      </c>
      <c r="F805" s="5">
        <v>45</v>
      </c>
      <c r="G805" s="5">
        <v>3160</v>
      </c>
      <c r="H805" s="8">
        <f t="shared" si="48"/>
        <v>142200</v>
      </c>
      <c r="I805" s="8">
        <f t="shared" si="49"/>
        <v>14220</v>
      </c>
      <c r="J805" s="8">
        <f t="shared" si="50"/>
        <v>156420</v>
      </c>
      <c r="K805" s="8" t="str">
        <f t="shared" si="51"/>
        <v/>
      </c>
    </row>
    <row r="806" spans="2:11" hidden="1">
      <c r="B806" s="7">
        <v>41540</v>
      </c>
      <c r="C806" s="3" t="s">
        <v>40</v>
      </c>
      <c r="D806" s="6" t="s">
        <v>28</v>
      </c>
      <c r="E806" s="3" t="s">
        <v>0</v>
      </c>
      <c r="F806" s="5">
        <v>25</v>
      </c>
      <c r="G806" s="5">
        <v>3580</v>
      </c>
      <c r="H806" s="8">
        <f t="shared" si="48"/>
        <v>89500</v>
      </c>
      <c r="I806" s="8">
        <f t="shared" si="49"/>
        <v>8950</v>
      </c>
      <c r="J806" s="8">
        <f t="shared" si="50"/>
        <v>98450</v>
      </c>
      <c r="K806" s="8" t="str">
        <f t="shared" si="51"/>
        <v/>
      </c>
    </row>
    <row r="807" spans="2:11">
      <c r="B807" s="7">
        <v>41541</v>
      </c>
      <c r="C807" s="3" t="s">
        <v>44</v>
      </c>
      <c r="D807" s="6" t="s">
        <v>18</v>
      </c>
      <c r="E807" s="3" t="s">
        <v>12</v>
      </c>
      <c r="F807" s="5">
        <v>30</v>
      </c>
      <c r="G807" s="5">
        <v>9190</v>
      </c>
      <c r="H807" s="8">
        <f t="shared" si="48"/>
        <v>275700</v>
      </c>
      <c r="I807" s="8">
        <f t="shared" si="49"/>
        <v>27570</v>
      </c>
      <c r="J807" s="8" t="str">
        <f t="shared" si="50"/>
        <v/>
      </c>
      <c r="K807" s="8">
        <f t="shared" si="51"/>
        <v>303270</v>
      </c>
    </row>
    <row r="808" spans="2:11">
      <c r="B808" s="7">
        <v>41542</v>
      </c>
      <c r="C808" s="3" t="s">
        <v>39</v>
      </c>
      <c r="D808" s="6" t="s">
        <v>13</v>
      </c>
      <c r="E808" s="3" t="s">
        <v>12</v>
      </c>
      <c r="F808" s="5">
        <v>9</v>
      </c>
      <c r="G808" s="5">
        <v>8520</v>
      </c>
      <c r="H808" s="8">
        <f t="shared" si="48"/>
        <v>76680</v>
      </c>
      <c r="I808" s="8">
        <f t="shared" si="49"/>
        <v>7660</v>
      </c>
      <c r="J808" s="8" t="str">
        <f t="shared" si="50"/>
        <v/>
      </c>
      <c r="K808" s="8">
        <f t="shared" si="51"/>
        <v>84340</v>
      </c>
    </row>
    <row r="809" spans="2:11">
      <c r="B809" s="7">
        <v>41542</v>
      </c>
      <c r="C809" s="3" t="s">
        <v>43</v>
      </c>
      <c r="D809" s="6" t="s">
        <v>25</v>
      </c>
      <c r="E809" s="3" t="s">
        <v>12</v>
      </c>
      <c r="F809" s="5">
        <v>45</v>
      </c>
      <c r="G809" s="5">
        <v>9520</v>
      </c>
      <c r="H809" s="8">
        <f t="shared" si="48"/>
        <v>428400</v>
      </c>
      <c r="I809" s="8">
        <f t="shared" si="49"/>
        <v>42840</v>
      </c>
      <c r="J809" s="8" t="str">
        <f t="shared" si="50"/>
        <v/>
      </c>
      <c r="K809" s="8">
        <f t="shared" si="51"/>
        <v>471240</v>
      </c>
    </row>
    <row r="810" spans="2:11">
      <c r="B810" s="7">
        <v>41543</v>
      </c>
      <c r="C810" s="3" t="s">
        <v>37</v>
      </c>
      <c r="D810" s="6" t="s">
        <v>21</v>
      </c>
      <c r="E810" s="3" t="s">
        <v>12</v>
      </c>
      <c r="F810" s="5">
        <v>5</v>
      </c>
      <c r="G810" s="5">
        <v>6820</v>
      </c>
      <c r="H810" s="8">
        <f t="shared" si="48"/>
        <v>34100</v>
      </c>
      <c r="I810" s="8">
        <f t="shared" si="49"/>
        <v>3410</v>
      </c>
      <c r="J810" s="8" t="str">
        <f t="shared" si="50"/>
        <v/>
      </c>
      <c r="K810" s="8">
        <f t="shared" si="51"/>
        <v>37510</v>
      </c>
    </row>
    <row r="811" spans="2:11">
      <c r="B811" s="7">
        <v>41543</v>
      </c>
      <c r="C811" s="3" t="s">
        <v>37</v>
      </c>
      <c r="D811" s="6" t="s">
        <v>13</v>
      </c>
      <c r="E811" s="3" t="s">
        <v>12</v>
      </c>
      <c r="F811" s="5">
        <v>12</v>
      </c>
      <c r="G811" s="5">
        <v>7450</v>
      </c>
      <c r="H811" s="8">
        <f t="shared" si="48"/>
        <v>89400</v>
      </c>
      <c r="I811" s="8">
        <f t="shared" si="49"/>
        <v>8940</v>
      </c>
      <c r="J811" s="8" t="str">
        <f t="shared" si="50"/>
        <v/>
      </c>
      <c r="K811" s="8">
        <f t="shared" si="51"/>
        <v>98340</v>
      </c>
    </row>
    <row r="812" spans="2:11">
      <c r="B812" s="7">
        <v>41543</v>
      </c>
      <c r="C812" s="3" t="s">
        <v>43</v>
      </c>
      <c r="D812" s="6" t="s">
        <v>20</v>
      </c>
      <c r="E812" s="3" t="s">
        <v>12</v>
      </c>
      <c r="F812" s="5">
        <v>13</v>
      </c>
      <c r="G812" s="5">
        <v>8390</v>
      </c>
      <c r="H812" s="8">
        <f t="shared" si="48"/>
        <v>109070</v>
      </c>
      <c r="I812" s="8">
        <f t="shared" si="49"/>
        <v>10900</v>
      </c>
      <c r="J812" s="8" t="str">
        <f t="shared" si="50"/>
        <v/>
      </c>
      <c r="K812" s="8">
        <f t="shared" si="51"/>
        <v>119970</v>
      </c>
    </row>
    <row r="813" spans="2:11">
      <c r="B813" s="7">
        <v>41543</v>
      </c>
      <c r="C813" s="3" t="s">
        <v>42</v>
      </c>
      <c r="D813" s="6" t="s">
        <v>19</v>
      </c>
      <c r="E813" s="3" t="s">
        <v>12</v>
      </c>
      <c r="F813" s="5">
        <v>16</v>
      </c>
      <c r="G813" s="5">
        <v>9330</v>
      </c>
      <c r="H813" s="8">
        <f t="shared" si="48"/>
        <v>149280</v>
      </c>
      <c r="I813" s="8">
        <f t="shared" si="49"/>
        <v>14920</v>
      </c>
      <c r="J813" s="8" t="str">
        <f t="shared" si="50"/>
        <v/>
      </c>
      <c r="K813" s="8">
        <f t="shared" si="51"/>
        <v>164200</v>
      </c>
    </row>
    <row r="814" spans="2:11" hidden="1">
      <c r="B814" s="7">
        <v>41543</v>
      </c>
      <c r="C814" s="3" t="s">
        <v>37</v>
      </c>
      <c r="D814" s="6" t="s">
        <v>23</v>
      </c>
      <c r="E814" s="3" t="s">
        <v>0</v>
      </c>
      <c r="F814" s="5">
        <v>17</v>
      </c>
      <c r="G814" s="5">
        <v>4820</v>
      </c>
      <c r="H814" s="8">
        <f t="shared" si="48"/>
        <v>81940</v>
      </c>
      <c r="I814" s="8">
        <f t="shared" si="49"/>
        <v>8190</v>
      </c>
      <c r="J814" s="8">
        <f t="shared" si="50"/>
        <v>90130</v>
      </c>
      <c r="K814" s="8" t="str">
        <f t="shared" si="51"/>
        <v/>
      </c>
    </row>
    <row r="815" spans="2:11">
      <c r="B815" s="7">
        <v>41544</v>
      </c>
      <c r="C815" s="3" t="s">
        <v>45</v>
      </c>
      <c r="D815" s="6" t="s">
        <v>27</v>
      </c>
      <c r="E815" s="3" t="s">
        <v>12</v>
      </c>
      <c r="F815" s="5">
        <v>20</v>
      </c>
      <c r="G815" s="5">
        <v>6450</v>
      </c>
      <c r="H815" s="8">
        <f t="shared" si="48"/>
        <v>129000</v>
      </c>
      <c r="I815" s="8">
        <f t="shared" si="49"/>
        <v>12900</v>
      </c>
      <c r="J815" s="8" t="str">
        <f t="shared" si="50"/>
        <v/>
      </c>
      <c r="K815" s="8">
        <f t="shared" si="51"/>
        <v>141900</v>
      </c>
    </row>
    <row r="816" spans="2:11">
      <c r="B816" s="7">
        <v>41544</v>
      </c>
      <c r="C816" s="3" t="s">
        <v>39</v>
      </c>
      <c r="D816" s="6" t="s">
        <v>18</v>
      </c>
      <c r="E816" s="3" t="s">
        <v>12</v>
      </c>
      <c r="F816" s="5">
        <v>11</v>
      </c>
      <c r="G816" s="5">
        <v>7980</v>
      </c>
      <c r="H816" s="8">
        <f t="shared" si="48"/>
        <v>87780</v>
      </c>
      <c r="I816" s="8">
        <f t="shared" si="49"/>
        <v>8770</v>
      </c>
      <c r="J816" s="8" t="str">
        <f t="shared" si="50"/>
        <v/>
      </c>
      <c r="K816" s="8">
        <f t="shared" si="51"/>
        <v>96550</v>
      </c>
    </row>
    <row r="817" spans="2:11">
      <c r="B817" s="7">
        <v>41544</v>
      </c>
      <c r="C817" s="3" t="s">
        <v>36</v>
      </c>
      <c r="D817" s="6" t="s">
        <v>11</v>
      </c>
      <c r="E817" s="3" t="s">
        <v>12</v>
      </c>
      <c r="F817" s="5">
        <v>12</v>
      </c>
      <c r="G817" s="5">
        <v>9830</v>
      </c>
      <c r="H817" s="8">
        <f t="shared" si="48"/>
        <v>117960</v>
      </c>
      <c r="I817" s="8">
        <f t="shared" si="49"/>
        <v>11790</v>
      </c>
      <c r="J817" s="8" t="str">
        <f t="shared" si="50"/>
        <v/>
      </c>
      <c r="K817" s="8">
        <f t="shared" si="51"/>
        <v>129750</v>
      </c>
    </row>
    <row r="818" spans="2:11" hidden="1">
      <c r="B818" s="7">
        <v>41544</v>
      </c>
      <c r="C818" s="3" t="s">
        <v>44</v>
      </c>
      <c r="D818" s="6" t="s">
        <v>18</v>
      </c>
      <c r="E818" s="3" t="s">
        <v>0</v>
      </c>
      <c r="F818" s="5">
        <v>31</v>
      </c>
      <c r="G818" s="5">
        <v>2490</v>
      </c>
      <c r="H818" s="8">
        <f t="shared" si="48"/>
        <v>77190</v>
      </c>
      <c r="I818" s="8">
        <f t="shared" si="49"/>
        <v>7710</v>
      </c>
      <c r="J818" s="8">
        <f t="shared" si="50"/>
        <v>84900</v>
      </c>
      <c r="K818" s="8" t="str">
        <f t="shared" si="51"/>
        <v/>
      </c>
    </row>
    <row r="819" spans="2:11" hidden="1">
      <c r="B819" s="7">
        <v>41544</v>
      </c>
      <c r="C819" s="3" t="s">
        <v>41</v>
      </c>
      <c r="D819" s="6" t="s">
        <v>25</v>
      </c>
      <c r="E819" s="3" t="s">
        <v>0</v>
      </c>
      <c r="F819" s="5">
        <v>36</v>
      </c>
      <c r="G819" s="5">
        <v>5960</v>
      </c>
      <c r="H819" s="8">
        <f t="shared" si="48"/>
        <v>214560</v>
      </c>
      <c r="I819" s="8">
        <f t="shared" si="49"/>
        <v>21450</v>
      </c>
      <c r="J819" s="8">
        <f t="shared" si="50"/>
        <v>236010</v>
      </c>
      <c r="K819" s="8" t="str">
        <f t="shared" si="51"/>
        <v/>
      </c>
    </row>
    <row r="820" spans="2:11">
      <c r="B820" s="7">
        <v>41545</v>
      </c>
      <c r="C820" s="3" t="s">
        <v>42</v>
      </c>
      <c r="D820" s="6" t="s">
        <v>18</v>
      </c>
      <c r="E820" s="3" t="s">
        <v>12</v>
      </c>
      <c r="F820" s="5">
        <v>20</v>
      </c>
      <c r="G820" s="5">
        <v>6510</v>
      </c>
      <c r="H820" s="8">
        <f t="shared" si="48"/>
        <v>130200</v>
      </c>
      <c r="I820" s="8">
        <f t="shared" si="49"/>
        <v>13020</v>
      </c>
      <c r="J820" s="8" t="str">
        <f t="shared" si="50"/>
        <v/>
      </c>
      <c r="K820" s="8">
        <f t="shared" si="51"/>
        <v>143220</v>
      </c>
    </row>
    <row r="821" spans="2:11">
      <c r="B821" s="7">
        <v>41545</v>
      </c>
      <c r="C821" s="3" t="s">
        <v>37</v>
      </c>
      <c r="D821" s="6" t="s">
        <v>29</v>
      </c>
      <c r="E821" s="3" t="s">
        <v>12</v>
      </c>
      <c r="F821" s="5">
        <v>8</v>
      </c>
      <c r="G821" s="5">
        <v>8830</v>
      </c>
      <c r="H821" s="8">
        <f t="shared" si="48"/>
        <v>70640</v>
      </c>
      <c r="I821" s="8">
        <f t="shared" si="49"/>
        <v>7060</v>
      </c>
      <c r="J821" s="8" t="str">
        <f t="shared" si="50"/>
        <v/>
      </c>
      <c r="K821" s="8">
        <f t="shared" si="51"/>
        <v>77700</v>
      </c>
    </row>
    <row r="822" spans="2:11">
      <c r="B822" s="7">
        <v>41545</v>
      </c>
      <c r="C822" s="3" t="s">
        <v>42</v>
      </c>
      <c r="D822" s="6" t="s">
        <v>15</v>
      </c>
      <c r="E822" s="3" t="s">
        <v>12</v>
      </c>
      <c r="F822" s="5">
        <v>7</v>
      </c>
      <c r="G822" s="5">
        <v>9200</v>
      </c>
      <c r="H822" s="8">
        <f t="shared" si="48"/>
        <v>64400</v>
      </c>
      <c r="I822" s="8">
        <f t="shared" si="49"/>
        <v>6440</v>
      </c>
      <c r="J822" s="8" t="str">
        <f t="shared" si="50"/>
        <v/>
      </c>
      <c r="K822" s="8">
        <f t="shared" si="51"/>
        <v>70840</v>
      </c>
    </row>
    <row r="823" spans="2:11" hidden="1">
      <c r="B823" s="7">
        <v>41545</v>
      </c>
      <c r="C823" s="3" t="s">
        <v>37</v>
      </c>
      <c r="D823" s="6" t="s">
        <v>17</v>
      </c>
      <c r="E823" s="3" t="s">
        <v>1</v>
      </c>
      <c r="F823" s="5">
        <v>16</v>
      </c>
      <c r="G823" s="5">
        <v>21180</v>
      </c>
      <c r="H823" s="8">
        <f t="shared" si="48"/>
        <v>338880</v>
      </c>
      <c r="I823" s="8">
        <f t="shared" si="49"/>
        <v>33880</v>
      </c>
      <c r="J823" s="8">
        <f t="shared" si="50"/>
        <v>372760</v>
      </c>
      <c r="K823" s="8" t="str">
        <f t="shared" si="51"/>
        <v/>
      </c>
    </row>
    <row r="824" spans="2:11">
      <c r="B824" s="7">
        <v>41546</v>
      </c>
      <c r="C824" s="3" t="s">
        <v>41</v>
      </c>
      <c r="D824" s="6" t="s">
        <v>19</v>
      </c>
      <c r="E824" s="3" t="s">
        <v>12</v>
      </c>
      <c r="F824" s="5">
        <v>39</v>
      </c>
      <c r="G824" s="5">
        <v>6450</v>
      </c>
      <c r="H824" s="8">
        <f t="shared" si="48"/>
        <v>251550</v>
      </c>
      <c r="I824" s="8">
        <f t="shared" si="49"/>
        <v>25150</v>
      </c>
      <c r="J824" s="8" t="str">
        <f t="shared" si="50"/>
        <v/>
      </c>
      <c r="K824" s="8">
        <f t="shared" si="51"/>
        <v>276700</v>
      </c>
    </row>
    <row r="825" spans="2:11">
      <c r="B825" s="7">
        <v>41546</v>
      </c>
      <c r="C825" s="3" t="s">
        <v>37</v>
      </c>
      <c r="D825" s="6" t="s">
        <v>29</v>
      </c>
      <c r="E825" s="3" t="s">
        <v>12</v>
      </c>
      <c r="F825" s="5">
        <v>29</v>
      </c>
      <c r="G825" s="5">
        <v>7070</v>
      </c>
      <c r="H825" s="8">
        <f t="shared" si="48"/>
        <v>205030</v>
      </c>
      <c r="I825" s="8">
        <f t="shared" si="49"/>
        <v>20500</v>
      </c>
      <c r="J825" s="8" t="str">
        <f t="shared" si="50"/>
        <v/>
      </c>
      <c r="K825" s="8">
        <f t="shared" si="51"/>
        <v>225530</v>
      </c>
    </row>
    <row r="826" spans="2:11">
      <c r="B826" s="7">
        <v>41546</v>
      </c>
      <c r="C826" s="3" t="s">
        <v>44</v>
      </c>
      <c r="D826" s="6" t="s">
        <v>20</v>
      </c>
      <c r="E826" s="3" t="s">
        <v>12</v>
      </c>
      <c r="F826" s="5">
        <v>22</v>
      </c>
      <c r="G826" s="5">
        <v>7980</v>
      </c>
      <c r="H826" s="8">
        <f t="shared" si="48"/>
        <v>175560</v>
      </c>
      <c r="I826" s="8">
        <f t="shared" si="49"/>
        <v>17550</v>
      </c>
      <c r="J826" s="8" t="str">
        <f t="shared" si="50"/>
        <v/>
      </c>
      <c r="K826" s="8">
        <f t="shared" si="51"/>
        <v>193110</v>
      </c>
    </row>
    <row r="827" spans="2:11">
      <c r="B827" s="7">
        <v>41546</v>
      </c>
      <c r="C827" s="3" t="s">
        <v>43</v>
      </c>
      <c r="D827" s="6" t="s">
        <v>27</v>
      </c>
      <c r="E827" s="3" t="s">
        <v>12</v>
      </c>
      <c r="F827" s="5">
        <v>45</v>
      </c>
      <c r="G827" s="5">
        <v>8830</v>
      </c>
      <c r="H827" s="8">
        <f t="shared" si="48"/>
        <v>397350</v>
      </c>
      <c r="I827" s="8">
        <f t="shared" si="49"/>
        <v>39730</v>
      </c>
      <c r="J827" s="8" t="str">
        <f t="shared" si="50"/>
        <v/>
      </c>
      <c r="K827" s="8">
        <f t="shared" si="51"/>
        <v>437080</v>
      </c>
    </row>
    <row r="828" spans="2:11">
      <c r="B828" s="7">
        <v>41546</v>
      </c>
      <c r="C828" s="3" t="s">
        <v>43</v>
      </c>
      <c r="D828" s="6" t="s">
        <v>13</v>
      </c>
      <c r="E828" s="3" t="s">
        <v>12</v>
      </c>
      <c r="F828" s="5">
        <v>10</v>
      </c>
      <c r="G828" s="5">
        <v>8920</v>
      </c>
      <c r="H828" s="8">
        <f t="shared" si="48"/>
        <v>89200</v>
      </c>
      <c r="I828" s="8">
        <f t="shared" si="49"/>
        <v>8920</v>
      </c>
      <c r="J828" s="8" t="str">
        <f t="shared" si="50"/>
        <v/>
      </c>
      <c r="K828" s="8">
        <f t="shared" si="51"/>
        <v>98120</v>
      </c>
    </row>
    <row r="829" spans="2:11">
      <c r="B829" s="7">
        <v>41546</v>
      </c>
      <c r="C829" s="3" t="s">
        <v>36</v>
      </c>
      <c r="D829" s="6" t="s">
        <v>23</v>
      </c>
      <c r="E829" s="3" t="s">
        <v>12</v>
      </c>
      <c r="F829" s="5">
        <v>5</v>
      </c>
      <c r="G829" s="5">
        <v>10080</v>
      </c>
      <c r="H829" s="8">
        <f t="shared" si="48"/>
        <v>50400</v>
      </c>
      <c r="I829" s="8">
        <f t="shared" si="49"/>
        <v>5040</v>
      </c>
      <c r="J829" s="8" t="str">
        <f t="shared" si="50"/>
        <v/>
      </c>
      <c r="K829" s="8">
        <f t="shared" si="51"/>
        <v>55440</v>
      </c>
    </row>
    <row r="830" spans="2:11">
      <c r="B830" s="7">
        <v>41546</v>
      </c>
      <c r="C830" s="3" t="s">
        <v>40</v>
      </c>
      <c r="D830" s="6" t="s">
        <v>20</v>
      </c>
      <c r="E830" s="3" t="s">
        <v>12</v>
      </c>
      <c r="F830" s="5">
        <v>31</v>
      </c>
      <c r="G830" s="5">
        <v>10800</v>
      </c>
      <c r="H830" s="8">
        <f t="shared" si="48"/>
        <v>334800</v>
      </c>
      <c r="I830" s="8">
        <f t="shared" si="49"/>
        <v>33480</v>
      </c>
      <c r="J830" s="8" t="str">
        <f t="shared" si="50"/>
        <v/>
      </c>
      <c r="K830" s="8">
        <f t="shared" si="51"/>
        <v>368280</v>
      </c>
    </row>
    <row r="831" spans="2:11" hidden="1">
      <c r="B831" s="7">
        <v>41546</v>
      </c>
      <c r="C831" s="3" t="s">
        <v>37</v>
      </c>
      <c r="D831" s="6" t="s">
        <v>19</v>
      </c>
      <c r="E831" s="3" t="s">
        <v>0</v>
      </c>
      <c r="F831" s="5">
        <v>21</v>
      </c>
      <c r="G831" s="5">
        <v>3560</v>
      </c>
      <c r="H831" s="8">
        <f t="shared" si="48"/>
        <v>74760</v>
      </c>
      <c r="I831" s="8">
        <f t="shared" si="49"/>
        <v>7470</v>
      </c>
      <c r="J831" s="8">
        <f t="shared" si="50"/>
        <v>82230</v>
      </c>
      <c r="K831" s="8" t="str">
        <f t="shared" si="51"/>
        <v/>
      </c>
    </row>
    <row r="832" spans="2:11">
      <c r="B832" s="7">
        <v>41547</v>
      </c>
      <c r="C832" s="3" t="s">
        <v>38</v>
      </c>
      <c r="D832" s="6" t="s">
        <v>13</v>
      </c>
      <c r="E832" s="3" t="s">
        <v>12</v>
      </c>
      <c r="F832" s="5">
        <v>9</v>
      </c>
      <c r="G832" s="5">
        <v>7050</v>
      </c>
      <c r="H832" s="8">
        <f t="shared" si="48"/>
        <v>63450</v>
      </c>
      <c r="I832" s="8">
        <f t="shared" si="49"/>
        <v>6340</v>
      </c>
      <c r="J832" s="8" t="str">
        <f t="shared" si="50"/>
        <v/>
      </c>
      <c r="K832" s="8">
        <f t="shared" si="51"/>
        <v>69790</v>
      </c>
    </row>
    <row r="833" spans="2:11" hidden="1">
      <c r="B833" s="7">
        <v>41547</v>
      </c>
      <c r="C833" s="3" t="s">
        <v>36</v>
      </c>
      <c r="D833" s="6" t="s">
        <v>14</v>
      </c>
      <c r="E833" s="3" t="s">
        <v>0</v>
      </c>
      <c r="F833" s="5">
        <v>5</v>
      </c>
      <c r="G833" s="5">
        <v>2510</v>
      </c>
      <c r="H833" s="8">
        <f t="shared" si="48"/>
        <v>12550</v>
      </c>
      <c r="I833" s="8">
        <f t="shared" si="49"/>
        <v>1250</v>
      </c>
      <c r="J833" s="8">
        <f t="shared" si="50"/>
        <v>13800</v>
      </c>
      <c r="K833" s="8" t="str">
        <f t="shared" si="51"/>
        <v/>
      </c>
    </row>
    <row r="834" spans="2:11" hidden="1">
      <c r="B834" s="7">
        <v>41548</v>
      </c>
      <c r="C834" s="3" t="s">
        <v>39</v>
      </c>
      <c r="D834" s="6" t="s">
        <v>19</v>
      </c>
      <c r="E834" s="3" t="s">
        <v>12</v>
      </c>
      <c r="F834" s="5">
        <v>11</v>
      </c>
      <c r="G834" s="5">
        <v>6070</v>
      </c>
      <c r="H834" s="8">
        <f t="shared" si="48"/>
        <v>66770</v>
      </c>
      <c r="I834" s="8">
        <f t="shared" si="49"/>
        <v>6670</v>
      </c>
      <c r="J834" s="8" t="str">
        <f t="shared" si="50"/>
        <v/>
      </c>
      <c r="K834" s="8">
        <f t="shared" si="51"/>
        <v>73440</v>
      </c>
    </row>
    <row r="835" spans="2:11" hidden="1">
      <c r="B835" s="7">
        <v>41548</v>
      </c>
      <c r="C835" s="3" t="s">
        <v>40</v>
      </c>
      <c r="D835" s="6" t="s">
        <v>15</v>
      </c>
      <c r="E835" s="3" t="s">
        <v>12</v>
      </c>
      <c r="F835" s="5">
        <v>12</v>
      </c>
      <c r="G835" s="5">
        <v>8950</v>
      </c>
      <c r="H835" s="8">
        <f t="shared" si="48"/>
        <v>107400</v>
      </c>
      <c r="I835" s="8">
        <f t="shared" si="49"/>
        <v>10740</v>
      </c>
      <c r="J835" s="8" t="str">
        <f t="shared" si="50"/>
        <v/>
      </c>
      <c r="K835" s="8">
        <f t="shared" si="51"/>
        <v>118140</v>
      </c>
    </row>
    <row r="836" spans="2:11" hidden="1">
      <c r="B836" s="7">
        <v>41549</v>
      </c>
      <c r="C836" s="3" t="s">
        <v>42</v>
      </c>
      <c r="D836" s="6" t="s">
        <v>16</v>
      </c>
      <c r="E836" s="3" t="s">
        <v>12</v>
      </c>
      <c r="F836" s="5">
        <v>40</v>
      </c>
      <c r="G836" s="5">
        <v>8180</v>
      </c>
      <c r="H836" s="8">
        <f t="shared" si="48"/>
        <v>327200</v>
      </c>
      <c r="I836" s="8">
        <f t="shared" si="49"/>
        <v>32720</v>
      </c>
      <c r="J836" s="8" t="str">
        <f t="shared" si="50"/>
        <v/>
      </c>
      <c r="K836" s="8">
        <f t="shared" si="51"/>
        <v>359920</v>
      </c>
    </row>
    <row r="837" spans="2:11" hidden="1">
      <c r="B837" s="7">
        <v>41549</v>
      </c>
      <c r="C837" s="3" t="s">
        <v>36</v>
      </c>
      <c r="D837" s="6" t="s">
        <v>22</v>
      </c>
      <c r="E837" s="3" t="s">
        <v>0</v>
      </c>
      <c r="F837" s="5">
        <v>27</v>
      </c>
      <c r="G837" s="5">
        <v>2560</v>
      </c>
      <c r="H837" s="8">
        <f t="shared" si="48"/>
        <v>69120</v>
      </c>
      <c r="I837" s="8">
        <f t="shared" si="49"/>
        <v>6910</v>
      </c>
      <c r="J837" s="8">
        <f t="shared" si="50"/>
        <v>76030</v>
      </c>
      <c r="K837" s="8" t="str">
        <f t="shared" si="51"/>
        <v/>
      </c>
    </row>
    <row r="838" spans="2:11" hidden="1">
      <c r="B838" s="7">
        <v>41549</v>
      </c>
      <c r="C838" s="3" t="s">
        <v>37</v>
      </c>
      <c r="D838" s="6" t="s">
        <v>19</v>
      </c>
      <c r="E838" s="3" t="s">
        <v>0</v>
      </c>
      <c r="F838" s="5">
        <v>7</v>
      </c>
      <c r="G838" s="5">
        <v>4440</v>
      </c>
      <c r="H838" s="8">
        <f t="shared" si="48"/>
        <v>31080</v>
      </c>
      <c r="I838" s="8">
        <f t="shared" si="49"/>
        <v>3100</v>
      </c>
      <c r="J838" s="8">
        <f t="shared" si="50"/>
        <v>34180</v>
      </c>
      <c r="K838" s="8" t="str">
        <f t="shared" si="51"/>
        <v/>
      </c>
    </row>
    <row r="839" spans="2:11" hidden="1">
      <c r="B839" s="7">
        <v>41550</v>
      </c>
      <c r="C839" s="3" t="s">
        <v>37</v>
      </c>
      <c r="D839" s="6" t="s">
        <v>14</v>
      </c>
      <c r="E839" s="3" t="s">
        <v>12</v>
      </c>
      <c r="F839" s="5">
        <v>10</v>
      </c>
      <c r="G839" s="5">
        <v>4060</v>
      </c>
      <c r="H839" s="8">
        <f t="shared" si="48"/>
        <v>40600</v>
      </c>
      <c r="I839" s="8">
        <f t="shared" si="49"/>
        <v>4060</v>
      </c>
      <c r="J839" s="8" t="str">
        <f t="shared" si="50"/>
        <v/>
      </c>
      <c r="K839" s="8">
        <f t="shared" si="51"/>
        <v>44660</v>
      </c>
    </row>
    <row r="840" spans="2:11" hidden="1">
      <c r="B840" s="7">
        <v>41550</v>
      </c>
      <c r="C840" s="3" t="s">
        <v>38</v>
      </c>
      <c r="D840" s="6" t="s">
        <v>14</v>
      </c>
      <c r="E840" s="3" t="s">
        <v>12</v>
      </c>
      <c r="F840" s="5">
        <v>13</v>
      </c>
      <c r="G840" s="5">
        <v>4350</v>
      </c>
      <c r="H840" s="8">
        <f t="shared" si="48"/>
        <v>56550</v>
      </c>
      <c r="I840" s="8">
        <f t="shared" si="49"/>
        <v>5650</v>
      </c>
      <c r="J840" s="8" t="str">
        <f t="shared" si="50"/>
        <v/>
      </c>
      <c r="K840" s="8">
        <f t="shared" si="51"/>
        <v>62200</v>
      </c>
    </row>
    <row r="841" spans="2:11" hidden="1">
      <c r="B841" s="7">
        <v>41550</v>
      </c>
      <c r="C841" s="3" t="s">
        <v>37</v>
      </c>
      <c r="D841" s="6" t="s">
        <v>29</v>
      </c>
      <c r="E841" s="3" t="s">
        <v>0</v>
      </c>
      <c r="F841" s="5">
        <v>39</v>
      </c>
      <c r="G841" s="5">
        <v>4060</v>
      </c>
      <c r="H841" s="8">
        <f t="shared" si="48"/>
        <v>158340</v>
      </c>
      <c r="I841" s="8">
        <f t="shared" si="49"/>
        <v>15830</v>
      </c>
      <c r="J841" s="8">
        <f t="shared" si="50"/>
        <v>174170</v>
      </c>
      <c r="K841" s="8" t="str">
        <f t="shared" si="51"/>
        <v/>
      </c>
    </row>
    <row r="842" spans="2:11" hidden="1">
      <c r="B842" s="7">
        <v>41551</v>
      </c>
      <c r="C842" s="3" t="s">
        <v>36</v>
      </c>
      <c r="D842" s="6" t="s">
        <v>13</v>
      </c>
      <c r="E842" s="3" t="s">
        <v>12</v>
      </c>
      <c r="F842" s="5">
        <v>5</v>
      </c>
      <c r="G842" s="5">
        <v>9460</v>
      </c>
      <c r="H842" s="8">
        <f t="shared" si="48"/>
        <v>47300</v>
      </c>
      <c r="I842" s="8">
        <f t="shared" si="49"/>
        <v>4730</v>
      </c>
      <c r="J842" s="8" t="str">
        <f t="shared" si="50"/>
        <v/>
      </c>
      <c r="K842" s="8">
        <f t="shared" si="51"/>
        <v>52030</v>
      </c>
    </row>
    <row r="843" spans="2:11" hidden="1">
      <c r="B843" s="7">
        <v>41551</v>
      </c>
      <c r="C843" s="3" t="s">
        <v>40</v>
      </c>
      <c r="D843" s="6" t="s">
        <v>19</v>
      </c>
      <c r="E843" s="3" t="s">
        <v>0</v>
      </c>
      <c r="F843" s="5">
        <v>6</v>
      </c>
      <c r="G843" s="5">
        <v>1930</v>
      </c>
      <c r="H843" s="8">
        <f t="shared" si="48"/>
        <v>11580</v>
      </c>
      <c r="I843" s="8">
        <f t="shared" si="49"/>
        <v>1150</v>
      </c>
      <c r="J843" s="8">
        <f t="shared" si="50"/>
        <v>12730</v>
      </c>
      <c r="K843" s="8" t="str">
        <f t="shared" si="51"/>
        <v/>
      </c>
    </row>
    <row r="844" spans="2:11" hidden="1">
      <c r="B844" s="7">
        <v>41551</v>
      </c>
      <c r="C844" s="3" t="s">
        <v>43</v>
      </c>
      <c r="D844" s="6" t="s">
        <v>15</v>
      </c>
      <c r="E844" s="3" t="s">
        <v>0</v>
      </c>
      <c r="F844" s="5">
        <v>17</v>
      </c>
      <c r="G844" s="5">
        <v>4560</v>
      </c>
      <c r="H844" s="8">
        <f t="shared" si="48"/>
        <v>77520</v>
      </c>
      <c r="I844" s="8">
        <f t="shared" si="49"/>
        <v>7750</v>
      </c>
      <c r="J844" s="8">
        <f t="shared" si="50"/>
        <v>85270</v>
      </c>
      <c r="K844" s="8" t="str">
        <f t="shared" si="51"/>
        <v/>
      </c>
    </row>
    <row r="845" spans="2:11" hidden="1">
      <c r="B845" s="7">
        <v>41552</v>
      </c>
      <c r="C845" s="3" t="s">
        <v>40</v>
      </c>
      <c r="D845" s="6" t="s">
        <v>11</v>
      </c>
      <c r="E845" s="3" t="s">
        <v>12</v>
      </c>
      <c r="F845" s="5">
        <v>15</v>
      </c>
      <c r="G845" s="5">
        <v>6320</v>
      </c>
      <c r="H845" s="8">
        <f t="shared" ref="H845:H908" si="52">F845*G845</f>
        <v>94800</v>
      </c>
      <c r="I845" s="8">
        <f t="shared" ref="I845:I908" si="53">TRUNC(H845*10%,-1)</f>
        <v>9480</v>
      </c>
      <c r="J845" s="8" t="str">
        <f t="shared" ref="J845:J908" si="54">IF(E845="매입",H845+I845,"")</f>
        <v/>
      </c>
      <c r="K845" s="8">
        <f t="shared" ref="K845:K908" si="55">IF(E845="매출",H845+I845,"")</f>
        <v>104280</v>
      </c>
    </row>
    <row r="846" spans="2:11" hidden="1">
      <c r="B846" s="7">
        <v>41552</v>
      </c>
      <c r="C846" s="3" t="s">
        <v>36</v>
      </c>
      <c r="D846" s="6" t="s">
        <v>11</v>
      </c>
      <c r="E846" s="3" t="s">
        <v>0</v>
      </c>
      <c r="F846" s="5">
        <v>12</v>
      </c>
      <c r="G846" s="5">
        <v>3900</v>
      </c>
      <c r="H846" s="8">
        <f t="shared" si="52"/>
        <v>46800</v>
      </c>
      <c r="I846" s="8">
        <f t="shared" si="53"/>
        <v>4680</v>
      </c>
      <c r="J846" s="8">
        <f t="shared" si="54"/>
        <v>51480</v>
      </c>
      <c r="K846" s="8" t="str">
        <f t="shared" si="55"/>
        <v/>
      </c>
    </row>
    <row r="847" spans="2:11" hidden="1">
      <c r="B847" s="7">
        <v>41553</v>
      </c>
      <c r="C847" s="3" t="s">
        <v>44</v>
      </c>
      <c r="D847" s="6" t="s">
        <v>21</v>
      </c>
      <c r="E847" s="3" t="s">
        <v>12</v>
      </c>
      <c r="F847" s="5">
        <v>15</v>
      </c>
      <c r="G847" s="5">
        <v>8950</v>
      </c>
      <c r="H847" s="8">
        <f t="shared" si="52"/>
        <v>134250</v>
      </c>
      <c r="I847" s="8">
        <f t="shared" si="53"/>
        <v>13420</v>
      </c>
      <c r="J847" s="8" t="str">
        <f t="shared" si="54"/>
        <v/>
      </c>
      <c r="K847" s="8">
        <f t="shared" si="55"/>
        <v>147670</v>
      </c>
    </row>
    <row r="848" spans="2:11" hidden="1">
      <c r="B848" s="7">
        <v>41553</v>
      </c>
      <c r="C848" s="3" t="s">
        <v>44</v>
      </c>
      <c r="D848" s="6" t="s">
        <v>24</v>
      </c>
      <c r="E848" s="3" t="s">
        <v>0</v>
      </c>
      <c r="F848" s="5">
        <v>45</v>
      </c>
      <c r="G848" s="5">
        <v>3770</v>
      </c>
      <c r="H848" s="8">
        <f t="shared" si="52"/>
        <v>169650</v>
      </c>
      <c r="I848" s="8">
        <f t="shared" si="53"/>
        <v>16960</v>
      </c>
      <c r="J848" s="8">
        <f t="shared" si="54"/>
        <v>186610</v>
      </c>
      <c r="K848" s="8" t="str">
        <f t="shared" si="55"/>
        <v/>
      </c>
    </row>
    <row r="849" spans="2:11" hidden="1">
      <c r="B849" s="7">
        <v>41553</v>
      </c>
      <c r="C849" s="3" t="s">
        <v>45</v>
      </c>
      <c r="D849" s="6" t="s">
        <v>28</v>
      </c>
      <c r="E849" s="3" t="s">
        <v>0</v>
      </c>
      <c r="F849" s="5">
        <v>26</v>
      </c>
      <c r="G849" s="5">
        <v>2540</v>
      </c>
      <c r="H849" s="8">
        <f t="shared" si="52"/>
        <v>66040</v>
      </c>
      <c r="I849" s="8">
        <f t="shared" si="53"/>
        <v>6600</v>
      </c>
      <c r="J849" s="8">
        <f t="shared" si="54"/>
        <v>72640</v>
      </c>
      <c r="K849" s="8" t="str">
        <f t="shared" si="55"/>
        <v/>
      </c>
    </row>
    <row r="850" spans="2:11" hidden="1">
      <c r="B850" s="7">
        <v>41553</v>
      </c>
      <c r="C850" s="3" t="s">
        <v>43</v>
      </c>
      <c r="D850" s="6" t="s">
        <v>16</v>
      </c>
      <c r="E850" s="3" t="s">
        <v>0</v>
      </c>
      <c r="F850" s="5">
        <v>10</v>
      </c>
      <c r="G850" s="5">
        <v>6400</v>
      </c>
      <c r="H850" s="8">
        <f t="shared" si="52"/>
        <v>64000</v>
      </c>
      <c r="I850" s="8">
        <f t="shared" si="53"/>
        <v>6400</v>
      </c>
      <c r="J850" s="8">
        <f t="shared" si="54"/>
        <v>70400</v>
      </c>
      <c r="K850" s="8" t="str">
        <f t="shared" si="55"/>
        <v/>
      </c>
    </row>
    <row r="851" spans="2:11" hidden="1">
      <c r="B851" s="7">
        <v>41554</v>
      </c>
      <c r="C851" s="3" t="s">
        <v>45</v>
      </c>
      <c r="D851" s="6" t="s">
        <v>27</v>
      </c>
      <c r="E851" s="3" t="s">
        <v>12</v>
      </c>
      <c r="F851" s="5">
        <v>8</v>
      </c>
      <c r="G851" s="5">
        <v>7700</v>
      </c>
      <c r="H851" s="8">
        <f t="shared" si="52"/>
        <v>61600</v>
      </c>
      <c r="I851" s="8">
        <f t="shared" si="53"/>
        <v>6160</v>
      </c>
      <c r="J851" s="8" t="str">
        <f t="shared" si="54"/>
        <v/>
      </c>
      <c r="K851" s="8">
        <f t="shared" si="55"/>
        <v>67760</v>
      </c>
    </row>
    <row r="852" spans="2:11" hidden="1">
      <c r="B852" s="7">
        <v>41554</v>
      </c>
      <c r="C852" s="3" t="s">
        <v>43</v>
      </c>
      <c r="D852" s="6" t="s">
        <v>21</v>
      </c>
      <c r="E852" s="3" t="s">
        <v>0</v>
      </c>
      <c r="F852" s="5">
        <v>40</v>
      </c>
      <c r="G852" s="5">
        <v>4690</v>
      </c>
      <c r="H852" s="8">
        <f t="shared" si="52"/>
        <v>187600</v>
      </c>
      <c r="I852" s="8">
        <f t="shared" si="53"/>
        <v>18760</v>
      </c>
      <c r="J852" s="8">
        <f t="shared" si="54"/>
        <v>206360</v>
      </c>
      <c r="K852" s="8" t="str">
        <f t="shared" si="55"/>
        <v/>
      </c>
    </row>
    <row r="853" spans="2:11" hidden="1">
      <c r="B853" s="7">
        <v>41555</v>
      </c>
      <c r="C853" s="3" t="s">
        <v>38</v>
      </c>
      <c r="D853" s="6" t="s">
        <v>11</v>
      </c>
      <c r="E853" s="3" t="s">
        <v>0</v>
      </c>
      <c r="F853" s="5">
        <v>24</v>
      </c>
      <c r="G853" s="5">
        <v>2180</v>
      </c>
      <c r="H853" s="8">
        <f t="shared" si="52"/>
        <v>52320</v>
      </c>
      <c r="I853" s="8">
        <f t="shared" si="53"/>
        <v>5230</v>
      </c>
      <c r="J853" s="8">
        <f t="shared" si="54"/>
        <v>57550</v>
      </c>
      <c r="K853" s="8" t="str">
        <f t="shared" si="55"/>
        <v/>
      </c>
    </row>
    <row r="854" spans="2:11" hidden="1">
      <c r="B854" s="7">
        <v>41555</v>
      </c>
      <c r="C854" s="3" t="s">
        <v>36</v>
      </c>
      <c r="D854" s="6" t="s">
        <v>25</v>
      </c>
      <c r="E854" s="3" t="s">
        <v>0</v>
      </c>
      <c r="F854" s="5">
        <v>6</v>
      </c>
      <c r="G854" s="5">
        <v>4770</v>
      </c>
      <c r="H854" s="8">
        <f t="shared" si="52"/>
        <v>28620</v>
      </c>
      <c r="I854" s="8">
        <f t="shared" si="53"/>
        <v>2860</v>
      </c>
      <c r="J854" s="8">
        <f t="shared" si="54"/>
        <v>31480</v>
      </c>
      <c r="K854" s="8" t="str">
        <f t="shared" si="55"/>
        <v/>
      </c>
    </row>
    <row r="855" spans="2:11" hidden="1">
      <c r="B855" s="7">
        <v>41556</v>
      </c>
      <c r="C855" s="3" t="s">
        <v>40</v>
      </c>
      <c r="D855" s="6" t="s">
        <v>20</v>
      </c>
      <c r="E855" s="3" t="s">
        <v>12</v>
      </c>
      <c r="F855" s="5">
        <v>48</v>
      </c>
      <c r="G855" s="5">
        <v>7310</v>
      </c>
      <c r="H855" s="8">
        <f t="shared" si="52"/>
        <v>350880</v>
      </c>
      <c r="I855" s="8">
        <f t="shared" si="53"/>
        <v>35080</v>
      </c>
      <c r="J855" s="8" t="str">
        <f t="shared" si="54"/>
        <v/>
      </c>
      <c r="K855" s="8">
        <f t="shared" si="55"/>
        <v>385960</v>
      </c>
    </row>
    <row r="856" spans="2:11" hidden="1">
      <c r="B856" s="7">
        <v>41556</v>
      </c>
      <c r="C856" s="3" t="s">
        <v>45</v>
      </c>
      <c r="D856" s="6" t="s">
        <v>22</v>
      </c>
      <c r="E856" s="3" t="s">
        <v>12</v>
      </c>
      <c r="F856" s="5">
        <v>42</v>
      </c>
      <c r="G856" s="5">
        <v>7700</v>
      </c>
      <c r="H856" s="8">
        <f t="shared" si="52"/>
        <v>323400</v>
      </c>
      <c r="I856" s="8">
        <f t="shared" si="53"/>
        <v>32340</v>
      </c>
      <c r="J856" s="8" t="str">
        <f t="shared" si="54"/>
        <v/>
      </c>
      <c r="K856" s="8">
        <f t="shared" si="55"/>
        <v>355740</v>
      </c>
    </row>
    <row r="857" spans="2:11" hidden="1">
      <c r="B857" s="7">
        <v>41556</v>
      </c>
      <c r="C857" s="3" t="s">
        <v>37</v>
      </c>
      <c r="D857" s="6" t="s">
        <v>27</v>
      </c>
      <c r="E857" s="3" t="s">
        <v>12</v>
      </c>
      <c r="F857" s="5">
        <v>12</v>
      </c>
      <c r="G857" s="5">
        <v>8450</v>
      </c>
      <c r="H857" s="8">
        <f t="shared" si="52"/>
        <v>101400</v>
      </c>
      <c r="I857" s="8">
        <f t="shared" si="53"/>
        <v>10140</v>
      </c>
      <c r="J857" s="8" t="str">
        <f t="shared" si="54"/>
        <v/>
      </c>
      <c r="K857" s="8">
        <f t="shared" si="55"/>
        <v>111540</v>
      </c>
    </row>
    <row r="858" spans="2:11" hidden="1">
      <c r="B858" s="7">
        <v>41556</v>
      </c>
      <c r="C858" s="3" t="s">
        <v>42</v>
      </c>
      <c r="D858" s="6" t="s">
        <v>19</v>
      </c>
      <c r="E858" s="3" t="s">
        <v>0</v>
      </c>
      <c r="F858" s="5">
        <v>5</v>
      </c>
      <c r="G858" s="5">
        <v>3650</v>
      </c>
      <c r="H858" s="8">
        <f t="shared" si="52"/>
        <v>18250</v>
      </c>
      <c r="I858" s="8">
        <f t="shared" si="53"/>
        <v>1820</v>
      </c>
      <c r="J858" s="8">
        <f t="shared" si="54"/>
        <v>20070</v>
      </c>
      <c r="K858" s="8" t="str">
        <f t="shared" si="55"/>
        <v/>
      </c>
    </row>
    <row r="859" spans="2:11" hidden="1">
      <c r="B859" s="7">
        <v>41557</v>
      </c>
      <c r="C859" s="3" t="s">
        <v>38</v>
      </c>
      <c r="D859" s="6" t="s">
        <v>21</v>
      </c>
      <c r="E859" s="3" t="s">
        <v>1</v>
      </c>
      <c r="F859" s="5">
        <v>38</v>
      </c>
      <c r="G859" s="5">
        <v>8580</v>
      </c>
      <c r="H859" s="8">
        <f t="shared" si="52"/>
        <v>326040</v>
      </c>
      <c r="I859" s="8">
        <f t="shared" si="53"/>
        <v>32600</v>
      </c>
      <c r="J859" s="8">
        <f t="shared" si="54"/>
        <v>358640</v>
      </c>
      <c r="K859" s="8" t="str">
        <f t="shared" si="55"/>
        <v/>
      </c>
    </row>
    <row r="860" spans="2:11" hidden="1">
      <c r="B860" s="7">
        <v>41557</v>
      </c>
      <c r="C860" s="3" t="s">
        <v>43</v>
      </c>
      <c r="D860" s="6" t="s">
        <v>25</v>
      </c>
      <c r="E860" s="3" t="s">
        <v>12</v>
      </c>
      <c r="F860" s="5">
        <v>23</v>
      </c>
      <c r="G860" s="5">
        <v>9080</v>
      </c>
      <c r="H860" s="8">
        <f t="shared" si="52"/>
        <v>208840</v>
      </c>
      <c r="I860" s="8">
        <f t="shared" si="53"/>
        <v>20880</v>
      </c>
      <c r="J860" s="8" t="str">
        <f t="shared" si="54"/>
        <v/>
      </c>
      <c r="K860" s="8">
        <f t="shared" si="55"/>
        <v>229720</v>
      </c>
    </row>
    <row r="861" spans="2:11" hidden="1">
      <c r="B861" s="7">
        <v>41557</v>
      </c>
      <c r="C861" s="3" t="s">
        <v>42</v>
      </c>
      <c r="D861" s="6" t="s">
        <v>18</v>
      </c>
      <c r="E861" s="3" t="s">
        <v>0</v>
      </c>
      <c r="F861" s="5">
        <v>46</v>
      </c>
      <c r="G861" s="5">
        <v>3700</v>
      </c>
      <c r="H861" s="8">
        <f t="shared" si="52"/>
        <v>170200</v>
      </c>
      <c r="I861" s="8">
        <f t="shared" si="53"/>
        <v>17020</v>
      </c>
      <c r="J861" s="8">
        <f t="shared" si="54"/>
        <v>187220</v>
      </c>
      <c r="K861" s="8" t="str">
        <f t="shared" si="55"/>
        <v/>
      </c>
    </row>
    <row r="862" spans="2:11" hidden="1">
      <c r="B862" s="7">
        <v>41558</v>
      </c>
      <c r="C862" s="3" t="s">
        <v>42</v>
      </c>
      <c r="D862" s="6" t="s">
        <v>26</v>
      </c>
      <c r="E862" s="3" t="s">
        <v>12</v>
      </c>
      <c r="F862" s="5">
        <v>21</v>
      </c>
      <c r="G862" s="5">
        <v>5820</v>
      </c>
      <c r="H862" s="8">
        <f t="shared" si="52"/>
        <v>122220</v>
      </c>
      <c r="I862" s="8">
        <f t="shared" si="53"/>
        <v>12220</v>
      </c>
      <c r="J862" s="8" t="str">
        <f t="shared" si="54"/>
        <v/>
      </c>
      <c r="K862" s="8">
        <f t="shared" si="55"/>
        <v>134440</v>
      </c>
    </row>
    <row r="863" spans="2:11" hidden="1">
      <c r="B863" s="7">
        <v>41558</v>
      </c>
      <c r="C863" s="3" t="s">
        <v>37</v>
      </c>
      <c r="D863" s="6" t="s">
        <v>13</v>
      </c>
      <c r="E863" s="3" t="s">
        <v>12</v>
      </c>
      <c r="F863" s="5">
        <v>15</v>
      </c>
      <c r="G863" s="5">
        <v>9730</v>
      </c>
      <c r="H863" s="8">
        <f t="shared" si="52"/>
        <v>145950</v>
      </c>
      <c r="I863" s="8">
        <f t="shared" si="53"/>
        <v>14590</v>
      </c>
      <c r="J863" s="8" t="str">
        <f t="shared" si="54"/>
        <v/>
      </c>
      <c r="K863" s="8">
        <f t="shared" si="55"/>
        <v>160540</v>
      </c>
    </row>
    <row r="864" spans="2:11" hidden="1">
      <c r="B864" s="7">
        <v>41558</v>
      </c>
      <c r="C864" s="3" t="s">
        <v>40</v>
      </c>
      <c r="D864" s="6" t="s">
        <v>19</v>
      </c>
      <c r="E864" s="3" t="s">
        <v>0</v>
      </c>
      <c r="F864" s="5">
        <v>48</v>
      </c>
      <c r="G864" s="5">
        <v>1680</v>
      </c>
      <c r="H864" s="8">
        <f t="shared" si="52"/>
        <v>80640</v>
      </c>
      <c r="I864" s="8">
        <f t="shared" si="53"/>
        <v>8060</v>
      </c>
      <c r="J864" s="8">
        <f t="shared" si="54"/>
        <v>88700</v>
      </c>
      <c r="K864" s="8" t="str">
        <f t="shared" si="55"/>
        <v/>
      </c>
    </row>
    <row r="865" spans="2:11" hidden="1">
      <c r="B865" s="7">
        <v>41558</v>
      </c>
      <c r="C865" s="3" t="s">
        <v>41</v>
      </c>
      <c r="D865" s="6" t="s">
        <v>11</v>
      </c>
      <c r="E865" s="3" t="s">
        <v>0</v>
      </c>
      <c r="F865" s="5">
        <v>19</v>
      </c>
      <c r="G865" s="5">
        <v>2310</v>
      </c>
      <c r="H865" s="8">
        <f t="shared" si="52"/>
        <v>43890</v>
      </c>
      <c r="I865" s="8">
        <f t="shared" si="53"/>
        <v>4380</v>
      </c>
      <c r="J865" s="8">
        <f t="shared" si="54"/>
        <v>48270</v>
      </c>
      <c r="K865" s="8" t="str">
        <f t="shared" si="55"/>
        <v/>
      </c>
    </row>
    <row r="866" spans="2:11" hidden="1">
      <c r="B866" s="7">
        <v>41558</v>
      </c>
      <c r="C866" s="3" t="s">
        <v>45</v>
      </c>
      <c r="D866" s="6" t="s">
        <v>20</v>
      </c>
      <c r="E866" s="3" t="s">
        <v>0</v>
      </c>
      <c r="F866" s="5">
        <v>44</v>
      </c>
      <c r="G866" s="5">
        <v>5040</v>
      </c>
      <c r="H866" s="8">
        <f t="shared" si="52"/>
        <v>221760</v>
      </c>
      <c r="I866" s="8">
        <f t="shared" si="53"/>
        <v>22170</v>
      </c>
      <c r="J866" s="8">
        <f t="shared" si="54"/>
        <v>243930</v>
      </c>
      <c r="K866" s="8" t="str">
        <f t="shared" si="55"/>
        <v/>
      </c>
    </row>
    <row r="867" spans="2:11" hidden="1">
      <c r="B867" s="7">
        <v>41560</v>
      </c>
      <c r="C867" s="3" t="s">
        <v>37</v>
      </c>
      <c r="D867" s="6" t="s">
        <v>14</v>
      </c>
      <c r="E867" s="3" t="s">
        <v>12</v>
      </c>
      <c r="F867" s="5">
        <v>40</v>
      </c>
      <c r="G867" s="5">
        <v>6100</v>
      </c>
      <c r="H867" s="8">
        <f t="shared" si="52"/>
        <v>244000</v>
      </c>
      <c r="I867" s="8">
        <f t="shared" si="53"/>
        <v>24400</v>
      </c>
      <c r="J867" s="8" t="str">
        <f t="shared" si="54"/>
        <v/>
      </c>
      <c r="K867" s="8">
        <f t="shared" si="55"/>
        <v>268400</v>
      </c>
    </row>
    <row r="868" spans="2:11" hidden="1">
      <c r="B868" s="7">
        <v>41560</v>
      </c>
      <c r="C868" s="3" t="s">
        <v>38</v>
      </c>
      <c r="D868" s="6" t="s">
        <v>18</v>
      </c>
      <c r="E868" s="3" t="s">
        <v>12</v>
      </c>
      <c r="F868" s="5">
        <v>14</v>
      </c>
      <c r="G868" s="5">
        <v>7050</v>
      </c>
      <c r="H868" s="8">
        <f t="shared" si="52"/>
        <v>98700</v>
      </c>
      <c r="I868" s="8">
        <f t="shared" si="53"/>
        <v>9870</v>
      </c>
      <c r="J868" s="8" t="str">
        <f t="shared" si="54"/>
        <v/>
      </c>
      <c r="K868" s="8">
        <f t="shared" si="55"/>
        <v>108570</v>
      </c>
    </row>
    <row r="869" spans="2:11" hidden="1">
      <c r="B869" s="7">
        <v>41560</v>
      </c>
      <c r="C869" s="3" t="s">
        <v>45</v>
      </c>
      <c r="D869" s="6" t="s">
        <v>16</v>
      </c>
      <c r="E869" s="3" t="s">
        <v>12</v>
      </c>
      <c r="F869" s="5">
        <v>25</v>
      </c>
      <c r="G869" s="5">
        <v>11450</v>
      </c>
      <c r="H869" s="8">
        <f t="shared" si="52"/>
        <v>286250</v>
      </c>
      <c r="I869" s="8">
        <f t="shared" si="53"/>
        <v>28620</v>
      </c>
      <c r="J869" s="8" t="str">
        <f t="shared" si="54"/>
        <v/>
      </c>
      <c r="K869" s="8">
        <f t="shared" si="55"/>
        <v>314870</v>
      </c>
    </row>
    <row r="870" spans="2:11" hidden="1">
      <c r="B870" s="7">
        <v>41560</v>
      </c>
      <c r="C870" s="3" t="s">
        <v>37</v>
      </c>
      <c r="D870" s="6" t="s">
        <v>29</v>
      </c>
      <c r="E870" s="3" t="s">
        <v>0</v>
      </c>
      <c r="F870" s="5">
        <v>15</v>
      </c>
      <c r="G870" s="5">
        <v>2560</v>
      </c>
      <c r="H870" s="8">
        <f t="shared" si="52"/>
        <v>38400</v>
      </c>
      <c r="I870" s="8">
        <f t="shared" si="53"/>
        <v>3840</v>
      </c>
      <c r="J870" s="8">
        <f t="shared" si="54"/>
        <v>42240</v>
      </c>
      <c r="K870" s="8" t="str">
        <f t="shared" si="55"/>
        <v/>
      </c>
    </row>
    <row r="871" spans="2:11" hidden="1">
      <c r="B871" s="7">
        <v>41560</v>
      </c>
      <c r="C871" s="3" t="s">
        <v>39</v>
      </c>
      <c r="D871" s="6" t="s">
        <v>18</v>
      </c>
      <c r="E871" s="3" t="s">
        <v>0</v>
      </c>
      <c r="F871" s="5">
        <v>30</v>
      </c>
      <c r="G871" s="5">
        <v>2890</v>
      </c>
      <c r="H871" s="8">
        <f t="shared" si="52"/>
        <v>86700</v>
      </c>
      <c r="I871" s="8">
        <f t="shared" si="53"/>
        <v>8670</v>
      </c>
      <c r="J871" s="8">
        <f t="shared" si="54"/>
        <v>95370</v>
      </c>
      <c r="K871" s="8" t="str">
        <f t="shared" si="55"/>
        <v/>
      </c>
    </row>
    <row r="872" spans="2:11" hidden="1">
      <c r="B872" s="7">
        <v>41561</v>
      </c>
      <c r="C872" s="3" t="s">
        <v>39</v>
      </c>
      <c r="D872" s="6" t="s">
        <v>11</v>
      </c>
      <c r="E872" s="3" t="s">
        <v>0</v>
      </c>
      <c r="F872" s="5">
        <v>49</v>
      </c>
      <c r="G872" s="5">
        <v>2930</v>
      </c>
      <c r="H872" s="8">
        <f t="shared" si="52"/>
        <v>143570</v>
      </c>
      <c r="I872" s="8">
        <f t="shared" si="53"/>
        <v>14350</v>
      </c>
      <c r="J872" s="8">
        <f t="shared" si="54"/>
        <v>157920</v>
      </c>
      <c r="K872" s="8" t="str">
        <f t="shared" si="55"/>
        <v/>
      </c>
    </row>
    <row r="873" spans="2:11" hidden="1">
      <c r="B873" s="7">
        <v>41562</v>
      </c>
      <c r="C873" s="3" t="s">
        <v>37</v>
      </c>
      <c r="D873" s="6" t="s">
        <v>25</v>
      </c>
      <c r="E873" s="3" t="s">
        <v>12</v>
      </c>
      <c r="F873" s="5">
        <v>18</v>
      </c>
      <c r="G873" s="5">
        <v>12790</v>
      </c>
      <c r="H873" s="8">
        <f t="shared" si="52"/>
        <v>230220</v>
      </c>
      <c r="I873" s="8">
        <f t="shared" si="53"/>
        <v>23020</v>
      </c>
      <c r="J873" s="8" t="str">
        <f t="shared" si="54"/>
        <v/>
      </c>
      <c r="K873" s="8">
        <f t="shared" si="55"/>
        <v>253240</v>
      </c>
    </row>
    <row r="874" spans="2:11" hidden="1">
      <c r="B874" s="7">
        <v>41563</v>
      </c>
      <c r="C874" s="3" t="s">
        <v>45</v>
      </c>
      <c r="D874" s="6" t="s">
        <v>16</v>
      </c>
      <c r="E874" s="3" t="s">
        <v>1</v>
      </c>
      <c r="F874" s="5">
        <v>18</v>
      </c>
      <c r="G874" s="5">
        <v>8180</v>
      </c>
      <c r="H874" s="8">
        <f t="shared" si="52"/>
        <v>147240</v>
      </c>
      <c r="I874" s="8">
        <f t="shared" si="53"/>
        <v>14720</v>
      </c>
      <c r="J874" s="8">
        <f t="shared" si="54"/>
        <v>161960</v>
      </c>
      <c r="K874" s="8" t="str">
        <f t="shared" si="55"/>
        <v/>
      </c>
    </row>
    <row r="875" spans="2:11" hidden="1">
      <c r="B875" s="7">
        <v>41563</v>
      </c>
      <c r="C875" s="3" t="s">
        <v>43</v>
      </c>
      <c r="D875" s="6" t="s">
        <v>13</v>
      </c>
      <c r="E875" s="3" t="s">
        <v>0</v>
      </c>
      <c r="F875" s="5">
        <v>9</v>
      </c>
      <c r="G875" s="5">
        <v>3030</v>
      </c>
      <c r="H875" s="8">
        <f t="shared" si="52"/>
        <v>27270</v>
      </c>
      <c r="I875" s="8">
        <f t="shared" si="53"/>
        <v>2720</v>
      </c>
      <c r="J875" s="8">
        <f t="shared" si="54"/>
        <v>29990</v>
      </c>
      <c r="K875" s="8" t="str">
        <f t="shared" si="55"/>
        <v/>
      </c>
    </row>
    <row r="876" spans="2:11" hidden="1">
      <c r="B876" s="7">
        <v>41565</v>
      </c>
      <c r="C876" s="3" t="s">
        <v>39</v>
      </c>
      <c r="D876" s="6" t="s">
        <v>13</v>
      </c>
      <c r="E876" s="3" t="s">
        <v>12</v>
      </c>
      <c r="F876" s="5">
        <v>31</v>
      </c>
      <c r="G876" s="5">
        <v>7720</v>
      </c>
      <c r="H876" s="8">
        <f t="shared" si="52"/>
        <v>239320</v>
      </c>
      <c r="I876" s="8">
        <f t="shared" si="53"/>
        <v>23930</v>
      </c>
      <c r="J876" s="8" t="str">
        <f t="shared" si="54"/>
        <v/>
      </c>
      <c r="K876" s="8">
        <f t="shared" si="55"/>
        <v>263250</v>
      </c>
    </row>
    <row r="877" spans="2:11" hidden="1">
      <c r="B877" s="7">
        <v>41565</v>
      </c>
      <c r="C877" s="3" t="s">
        <v>43</v>
      </c>
      <c r="D877" s="6" t="s">
        <v>19</v>
      </c>
      <c r="E877" s="3" t="s">
        <v>0</v>
      </c>
      <c r="F877" s="5">
        <v>22</v>
      </c>
      <c r="G877" s="5">
        <v>4020</v>
      </c>
      <c r="H877" s="8">
        <f t="shared" si="52"/>
        <v>88440</v>
      </c>
      <c r="I877" s="8">
        <f t="shared" si="53"/>
        <v>8840</v>
      </c>
      <c r="J877" s="8">
        <f t="shared" si="54"/>
        <v>97280</v>
      </c>
      <c r="K877" s="8" t="str">
        <f t="shared" si="55"/>
        <v/>
      </c>
    </row>
    <row r="878" spans="2:11" hidden="1">
      <c r="B878" s="7">
        <v>41565</v>
      </c>
      <c r="C878" s="3" t="s">
        <v>38</v>
      </c>
      <c r="D878" s="6" t="s">
        <v>24</v>
      </c>
      <c r="E878" s="3" t="s">
        <v>0</v>
      </c>
      <c r="F878" s="5">
        <v>6</v>
      </c>
      <c r="G878" s="5">
        <v>4820</v>
      </c>
      <c r="H878" s="8">
        <f t="shared" si="52"/>
        <v>28920</v>
      </c>
      <c r="I878" s="8">
        <f t="shared" si="53"/>
        <v>2890</v>
      </c>
      <c r="J878" s="8">
        <f t="shared" si="54"/>
        <v>31810</v>
      </c>
      <c r="K878" s="8" t="str">
        <f t="shared" si="55"/>
        <v/>
      </c>
    </row>
    <row r="879" spans="2:11" hidden="1">
      <c r="B879" s="7">
        <v>41565</v>
      </c>
      <c r="C879" s="3" t="s">
        <v>44</v>
      </c>
      <c r="D879" s="6" t="s">
        <v>28</v>
      </c>
      <c r="E879" s="3" t="s">
        <v>0</v>
      </c>
      <c r="F879" s="5">
        <v>32</v>
      </c>
      <c r="G879" s="5">
        <v>5360</v>
      </c>
      <c r="H879" s="8">
        <f t="shared" si="52"/>
        <v>171520</v>
      </c>
      <c r="I879" s="8">
        <f t="shared" si="53"/>
        <v>17150</v>
      </c>
      <c r="J879" s="8">
        <f t="shared" si="54"/>
        <v>188670</v>
      </c>
      <c r="K879" s="8" t="str">
        <f t="shared" si="55"/>
        <v/>
      </c>
    </row>
    <row r="880" spans="2:11" hidden="1">
      <c r="B880" s="7">
        <v>41566</v>
      </c>
      <c r="C880" s="3" t="s">
        <v>40</v>
      </c>
      <c r="D880" s="6" t="s">
        <v>16</v>
      </c>
      <c r="E880" s="3" t="s">
        <v>0</v>
      </c>
      <c r="F880" s="5">
        <v>39</v>
      </c>
      <c r="G880" s="5">
        <v>2690</v>
      </c>
      <c r="H880" s="8">
        <f t="shared" si="52"/>
        <v>104910</v>
      </c>
      <c r="I880" s="8">
        <f t="shared" si="53"/>
        <v>10490</v>
      </c>
      <c r="J880" s="8">
        <f t="shared" si="54"/>
        <v>115400</v>
      </c>
      <c r="K880" s="8" t="str">
        <f t="shared" si="55"/>
        <v/>
      </c>
    </row>
    <row r="881" spans="2:11" hidden="1">
      <c r="B881" s="7">
        <v>41566</v>
      </c>
      <c r="C881" s="3" t="s">
        <v>41</v>
      </c>
      <c r="D881" s="6" t="s">
        <v>24</v>
      </c>
      <c r="E881" s="3" t="s">
        <v>0</v>
      </c>
      <c r="F881" s="5">
        <v>23</v>
      </c>
      <c r="G881" s="5">
        <v>3060</v>
      </c>
      <c r="H881" s="8">
        <f t="shared" si="52"/>
        <v>70380</v>
      </c>
      <c r="I881" s="8">
        <f t="shared" si="53"/>
        <v>7030</v>
      </c>
      <c r="J881" s="8">
        <f t="shared" si="54"/>
        <v>77410</v>
      </c>
      <c r="K881" s="8" t="str">
        <f t="shared" si="55"/>
        <v/>
      </c>
    </row>
    <row r="882" spans="2:11" hidden="1">
      <c r="B882" s="7">
        <v>41566</v>
      </c>
      <c r="C882" s="3" t="s">
        <v>45</v>
      </c>
      <c r="D882" s="6" t="s">
        <v>21</v>
      </c>
      <c r="E882" s="3" t="s">
        <v>0</v>
      </c>
      <c r="F882" s="5">
        <v>10</v>
      </c>
      <c r="G882" s="5">
        <v>3310</v>
      </c>
      <c r="H882" s="8">
        <f t="shared" si="52"/>
        <v>33100</v>
      </c>
      <c r="I882" s="8">
        <f t="shared" si="53"/>
        <v>3310</v>
      </c>
      <c r="J882" s="8">
        <f t="shared" si="54"/>
        <v>36410</v>
      </c>
      <c r="K882" s="8" t="str">
        <f t="shared" si="55"/>
        <v/>
      </c>
    </row>
    <row r="883" spans="2:11" hidden="1">
      <c r="B883" s="7">
        <v>41566</v>
      </c>
      <c r="C883" s="3" t="s">
        <v>40</v>
      </c>
      <c r="D883" s="6" t="s">
        <v>26</v>
      </c>
      <c r="E883" s="3" t="s">
        <v>0</v>
      </c>
      <c r="F883" s="5">
        <v>45</v>
      </c>
      <c r="G883" s="5">
        <v>4560</v>
      </c>
      <c r="H883" s="8">
        <f t="shared" si="52"/>
        <v>205200</v>
      </c>
      <c r="I883" s="8">
        <f t="shared" si="53"/>
        <v>20520</v>
      </c>
      <c r="J883" s="8">
        <f t="shared" si="54"/>
        <v>225720</v>
      </c>
      <c r="K883" s="8" t="str">
        <f t="shared" si="55"/>
        <v/>
      </c>
    </row>
    <row r="884" spans="2:11" hidden="1">
      <c r="B884" s="7">
        <v>41566</v>
      </c>
      <c r="C884" s="3" t="s">
        <v>44</v>
      </c>
      <c r="D884" s="6" t="s">
        <v>23</v>
      </c>
      <c r="E884" s="3" t="s">
        <v>0</v>
      </c>
      <c r="F884" s="5">
        <v>10</v>
      </c>
      <c r="G884" s="5">
        <v>5070</v>
      </c>
      <c r="H884" s="8">
        <f t="shared" si="52"/>
        <v>50700</v>
      </c>
      <c r="I884" s="8">
        <f t="shared" si="53"/>
        <v>5070</v>
      </c>
      <c r="J884" s="8">
        <f t="shared" si="54"/>
        <v>55770</v>
      </c>
      <c r="K884" s="8" t="str">
        <f t="shared" si="55"/>
        <v/>
      </c>
    </row>
    <row r="885" spans="2:11" hidden="1">
      <c r="B885" s="7">
        <v>41566</v>
      </c>
      <c r="C885" s="3" t="s">
        <v>41</v>
      </c>
      <c r="D885" s="6" t="s">
        <v>17</v>
      </c>
      <c r="E885" s="3" t="s">
        <v>0</v>
      </c>
      <c r="F885" s="5">
        <v>6</v>
      </c>
      <c r="G885" s="5">
        <v>5720</v>
      </c>
      <c r="H885" s="8">
        <f t="shared" si="52"/>
        <v>34320</v>
      </c>
      <c r="I885" s="8">
        <f t="shared" si="53"/>
        <v>3430</v>
      </c>
      <c r="J885" s="8">
        <f t="shared" si="54"/>
        <v>37750</v>
      </c>
      <c r="K885" s="8" t="str">
        <f t="shared" si="55"/>
        <v/>
      </c>
    </row>
    <row r="886" spans="2:11" hidden="1">
      <c r="B886" s="7">
        <v>41567</v>
      </c>
      <c r="C886" s="3" t="s">
        <v>37</v>
      </c>
      <c r="D886" s="6" t="s">
        <v>24</v>
      </c>
      <c r="E886" s="3" t="s">
        <v>12</v>
      </c>
      <c r="F886" s="5">
        <v>18</v>
      </c>
      <c r="G886" s="5">
        <v>6190</v>
      </c>
      <c r="H886" s="8">
        <f t="shared" si="52"/>
        <v>111420</v>
      </c>
      <c r="I886" s="8">
        <f t="shared" si="53"/>
        <v>11140</v>
      </c>
      <c r="J886" s="8" t="str">
        <f t="shared" si="54"/>
        <v/>
      </c>
      <c r="K886" s="8">
        <f t="shared" si="55"/>
        <v>122560</v>
      </c>
    </row>
    <row r="887" spans="2:11" hidden="1">
      <c r="B887" s="7">
        <v>41567</v>
      </c>
      <c r="C887" s="3" t="s">
        <v>40</v>
      </c>
      <c r="D887" s="6" t="s">
        <v>28</v>
      </c>
      <c r="E887" s="3" t="s">
        <v>12</v>
      </c>
      <c r="F887" s="5">
        <v>29</v>
      </c>
      <c r="G887" s="5">
        <v>12050</v>
      </c>
      <c r="H887" s="8">
        <f t="shared" si="52"/>
        <v>349450</v>
      </c>
      <c r="I887" s="8">
        <f t="shared" si="53"/>
        <v>34940</v>
      </c>
      <c r="J887" s="8" t="str">
        <f t="shared" si="54"/>
        <v/>
      </c>
      <c r="K887" s="8">
        <f t="shared" si="55"/>
        <v>384390</v>
      </c>
    </row>
    <row r="888" spans="2:11" hidden="1">
      <c r="B888" s="7">
        <v>41567</v>
      </c>
      <c r="C888" s="3" t="s">
        <v>38</v>
      </c>
      <c r="D888" s="6" t="s">
        <v>23</v>
      </c>
      <c r="E888" s="3" t="s">
        <v>0</v>
      </c>
      <c r="F888" s="5">
        <v>23</v>
      </c>
      <c r="G888" s="5">
        <v>3770</v>
      </c>
      <c r="H888" s="8">
        <f t="shared" si="52"/>
        <v>86710</v>
      </c>
      <c r="I888" s="8">
        <f t="shared" si="53"/>
        <v>8670</v>
      </c>
      <c r="J888" s="8">
        <f t="shared" si="54"/>
        <v>95380</v>
      </c>
      <c r="K888" s="8" t="str">
        <f t="shared" si="55"/>
        <v/>
      </c>
    </row>
    <row r="889" spans="2:11" hidden="1">
      <c r="B889" s="7">
        <v>41568</v>
      </c>
      <c r="C889" s="3" t="s">
        <v>43</v>
      </c>
      <c r="D889" s="6" t="s">
        <v>14</v>
      </c>
      <c r="E889" s="3" t="s">
        <v>1</v>
      </c>
      <c r="F889" s="5">
        <v>41</v>
      </c>
      <c r="G889" s="5">
        <v>3970</v>
      </c>
      <c r="H889" s="8">
        <f t="shared" si="52"/>
        <v>162770</v>
      </c>
      <c r="I889" s="8">
        <f t="shared" si="53"/>
        <v>16270</v>
      </c>
      <c r="J889" s="8">
        <f t="shared" si="54"/>
        <v>179040</v>
      </c>
      <c r="K889" s="8" t="str">
        <f t="shared" si="55"/>
        <v/>
      </c>
    </row>
    <row r="890" spans="2:11" hidden="1">
      <c r="B890" s="7">
        <v>41568</v>
      </c>
      <c r="C890" s="3" t="s">
        <v>36</v>
      </c>
      <c r="D890" s="6" t="s">
        <v>11</v>
      </c>
      <c r="E890" s="3" t="s">
        <v>12</v>
      </c>
      <c r="F890" s="5">
        <v>19</v>
      </c>
      <c r="G890" s="5">
        <v>6950</v>
      </c>
      <c r="H890" s="8">
        <f t="shared" si="52"/>
        <v>132050</v>
      </c>
      <c r="I890" s="8">
        <f t="shared" si="53"/>
        <v>13200</v>
      </c>
      <c r="J890" s="8" t="str">
        <f t="shared" si="54"/>
        <v/>
      </c>
      <c r="K890" s="8">
        <f t="shared" si="55"/>
        <v>145250</v>
      </c>
    </row>
    <row r="891" spans="2:11" hidden="1">
      <c r="B891" s="7">
        <v>41568</v>
      </c>
      <c r="C891" s="3" t="s">
        <v>41</v>
      </c>
      <c r="D891" s="6" t="s">
        <v>15</v>
      </c>
      <c r="E891" s="3" t="s">
        <v>12</v>
      </c>
      <c r="F891" s="5">
        <v>33</v>
      </c>
      <c r="G891" s="5">
        <v>7570</v>
      </c>
      <c r="H891" s="8">
        <f t="shared" si="52"/>
        <v>249810</v>
      </c>
      <c r="I891" s="8">
        <f t="shared" si="53"/>
        <v>24980</v>
      </c>
      <c r="J891" s="8" t="str">
        <f t="shared" si="54"/>
        <v/>
      </c>
      <c r="K891" s="8">
        <f t="shared" si="55"/>
        <v>274790</v>
      </c>
    </row>
    <row r="892" spans="2:11" hidden="1">
      <c r="B892" s="7">
        <v>41568</v>
      </c>
      <c r="C892" s="3" t="s">
        <v>44</v>
      </c>
      <c r="D892" s="6" t="s">
        <v>24</v>
      </c>
      <c r="E892" s="3" t="s">
        <v>12</v>
      </c>
      <c r="F892" s="5">
        <v>22</v>
      </c>
      <c r="G892" s="5">
        <v>9200</v>
      </c>
      <c r="H892" s="8">
        <f t="shared" si="52"/>
        <v>202400</v>
      </c>
      <c r="I892" s="8">
        <f t="shared" si="53"/>
        <v>20240</v>
      </c>
      <c r="J892" s="8" t="str">
        <f t="shared" si="54"/>
        <v/>
      </c>
      <c r="K892" s="8">
        <f t="shared" si="55"/>
        <v>222640</v>
      </c>
    </row>
    <row r="893" spans="2:11" hidden="1">
      <c r="B893" s="7">
        <v>41568</v>
      </c>
      <c r="C893" s="3" t="s">
        <v>45</v>
      </c>
      <c r="D893" s="6" t="s">
        <v>19</v>
      </c>
      <c r="E893" s="3" t="s">
        <v>12</v>
      </c>
      <c r="F893" s="5">
        <v>15</v>
      </c>
      <c r="G893" s="5">
        <v>9330</v>
      </c>
      <c r="H893" s="8">
        <f t="shared" si="52"/>
        <v>139950</v>
      </c>
      <c r="I893" s="8">
        <f t="shared" si="53"/>
        <v>13990</v>
      </c>
      <c r="J893" s="8" t="str">
        <f t="shared" si="54"/>
        <v/>
      </c>
      <c r="K893" s="8">
        <f t="shared" si="55"/>
        <v>153940</v>
      </c>
    </row>
    <row r="894" spans="2:11" hidden="1">
      <c r="B894" s="7">
        <v>41568</v>
      </c>
      <c r="C894" s="3" t="s">
        <v>38</v>
      </c>
      <c r="D894" s="6" t="s">
        <v>15</v>
      </c>
      <c r="E894" s="3" t="s">
        <v>0</v>
      </c>
      <c r="F894" s="5">
        <v>47</v>
      </c>
      <c r="G894" s="5">
        <v>2900</v>
      </c>
      <c r="H894" s="8">
        <f t="shared" si="52"/>
        <v>136300</v>
      </c>
      <c r="I894" s="8">
        <f t="shared" si="53"/>
        <v>13630</v>
      </c>
      <c r="J894" s="8">
        <f t="shared" si="54"/>
        <v>149930</v>
      </c>
      <c r="K894" s="8" t="str">
        <f t="shared" si="55"/>
        <v/>
      </c>
    </row>
    <row r="895" spans="2:11" hidden="1">
      <c r="B895" s="7">
        <v>41568</v>
      </c>
      <c r="C895" s="3" t="s">
        <v>38</v>
      </c>
      <c r="D895" s="6" t="s">
        <v>19</v>
      </c>
      <c r="E895" s="3" t="s">
        <v>0</v>
      </c>
      <c r="F895" s="5">
        <v>38</v>
      </c>
      <c r="G895" s="5">
        <v>3310</v>
      </c>
      <c r="H895" s="8">
        <f t="shared" si="52"/>
        <v>125780</v>
      </c>
      <c r="I895" s="8">
        <f t="shared" si="53"/>
        <v>12570</v>
      </c>
      <c r="J895" s="8">
        <f t="shared" si="54"/>
        <v>138350</v>
      </c>
      <c r="K895" s="8" t="str">
        <f t="shared" si="55"/>
        <v/>
      </c>
    </row>
    <row r="896" spans="2:11" hidden="1">
      <c r="B896" s="7">
        <v>41568</v>
      </c>
      <c r="C896" s="3" t="s">
        <v>36</v>
      </c>
      <c r="D896" s="6" t="s">
        <v>22</v>
      </c>
      <c r="E896" s="3" t="s">
        <v>0</v>
      </c>
      <c r="F896" s="5">
        <v>8</v>
      </c>
      <c r="G896" s="5">
        <v>4560</v>
      </c>
      <c r="H896" s="8">
        <f t="shared" si="52"/>
        <v>36480</v>
      </c>
      <c r="I896" s="8">
        <f t="shared" si="53"/>
        <v>3640</v>
      </c>
      <c r="J896" s="8">
        <f t="shared" si="54"/>
        <v>40120</v>
      </c>
      <c r="K896" s="8" t="str">
        <f t="shared" si="55"/>
        <v/>
      </c>
    </row>
    <row r="897" spans="2:11" hidden="1">
      <c r="B897" s="7">
        <v>41569</v>
      </c>
      <c r="C897" s="3" t="s">
        <v>36</v>
      </c>
      <c r="D897" s="6" t="s">
        <v>22</v>
      </c>
      <c r="E897" s="3" t="s">
        <v>12</v>
      </c>
      <c r="F897" s="5">
        <v>41</v>
      </c>
      <c r="G897" s="5">
        <v>7700</v>
      </c>
      <c r="H897" s="8">
        <f t="shared" si="52"/>
        <v>315700</v>
      </c>
      <c r="I897" s="8">
        <f t="shared" si="53"/>
        <v>31570</v>
      </c>
      <c r="J897" s="8" t="str">
        <f t="shared" si="54"/>
        <v/>
      </c>
      <c r="K897" s="8">
        <f t="shared" si="55"/>
        <v>347270</v>
      </c>
    </row>
    <row r="898" spans="2:11" hidden="1">
      <c r="B898" s="7">
        <v>41569</v>
      </c>
      <c r="C898" s="3" t="s">
        <v>44</v>
      </c>
      <c r="D898" s="6" t="s">
        <v>22</v>
      </c>
      <c r="E898" s="3" t="s">
        <v>0</v>
      </c>
      <c r="F898" s="5">
        <v>13</v>
      </c>
      <c r="G898" s="5">
        <v>4060</v>
      </c>
      <c r="H898" s="8">
        <f t="shared" si="52"/>
        <v>52780</v>
      </c>
      <c r="I898" s="8">
        <f t="shared" si="53"/>
        <v>5270</v>
      </c>
      <c r="J898" s="8">
        <f t="shared" si="54"/>
        <v>58050</v>
      </c>
      <c r="K898" s="8" t="str">
        <f t="shared" si="55"/>
        <v/>
      </c>
    </row>
    <row r="899" spans="2:11" hidden="1">
      <c r="B899" s="7">
        <v>41570</v>
      </c>
      <c r="C899" s="3" t="s">
        <v>43</v>
      </c>
      <c r="D899" s="6" t="s">
        <v>21</v>
      </c>
      <c r="E899" s="3" t="s">
        <v>12</v>
      </c>
      <c r="F899" s="5">
        <v>7</v>
      </c>
      <c r="G899" s="5">
        <v>7320</v>
      </c>
      <c r="H899" s="8">
        <f t="shared" si="52"/>
        <v>51240</v>
      </c>
      <c r="I899" s="8">
        <f t="shared" si="53"/>
        <v>5120</v>
      </c>
      <c r="J899" s="8" t="str">
        <f t="shared" si="54"/>
        <v/>
      </c>
      <c r="K899" s="8">
        <f t="shared" si="55"/>
        <v>56360</v>
      </c>
    </row>
    <row r="900" spans="2:11" hidden="1">
      <c r="B900" s="7">
        <v>41571</v>
      </c>
      <c r="C900" s="3" t="s">
        <v>39</v>
      </c>
      <c r="D900" s="6" t="s">
        <v>21</v>
      </c>
      <c r="E900" s="3" t="s">
        <v>12</v>
      </c>
      <c r="F900" s="5">
        <v>25</v>
      </c>
      <c r="G900" s="5">
        <v>6700</v>
      </c>
      <c r="H900" s="8">
        <f t="shared" si="52"/>
        <v>167500</v>
      </c>
      <c r="I900" s="8">
        <f t="shared" si="53"/>
        <v>16750</v>
      </c>
      <c r="J900" s="8" t="str">
        <f t="shared" si="54"/>
        <v/>
      </c>
      <c r="K900" s="8">
        <f t="shared" si="55"/>
        <v>184250</v>
      </c>
    </row>
    <row r="901" spans="2:11" hidden="1">
      <c r="B901" s="7">
        <v>41571</v>
      </c>
      <c r="C901" s="3" t="s">
        <v>38</v>
      </c>
      <c r="D901" s="6" t="s">
        <v>16</v>
      </c>
      <c r="E901" s="3" t="s">
        <v>0</v>
      </c>
      <c r="F901" s="5">
        <v>46</v>
      </c>
      <c r="G901" s="5">
        <v>2240</v>
      </c>
      <c r="H901" s="8">
        <f t="shared" si="52"/>
        <v>103040</v>
      </c>
      <c r="I901" s="8">
        <f t="shared" si="53"/>
        <v>10300</v>
      </c>
      <c r="J901" s="8">
        <f t="shared" si="54"/>
        <v>113340</v>
      </c>
      <c r="K901" s="8" t="str">
        <f t="shared" si="55"/>
        <v/>
      </c>
    </row>
    <row r="902" spans="2:11" hidden="1">
      <c r="B902" s="7">
        <v>41572</v>
      </c>
      <c r="C902" s="3" t="s">
        <v>44</v>
      </c>
      <c r="D902" s="6" t="s">
        <v>11</v>
      </c>
      <c r="E902" s="3" t="s">
        <v>12</v>
      </c>
      <c r="F902" s="5">
        <v>29</v>
      </c>
      <c r="G902" s="5">
        <v>5940</v>
      </c>
      <c r="H902" s="8">
        <f t="shared" si="52"/>
        <v>172260</v>
      </c>
      <c r="I902" s="8">
        <f t="shared" si="53"/>
        <v>17220</v>
      </c>
      <c r="J902" s="8" t="str">
        <f t="shared" si="54"/>
        <v/>
      </c>
      <c r="K902" s="8">
        <f t="shared" si="55"/>
        <v>189480</v>
      </c>
    </row>
    <row r="903" spans="2:11" hidden="1">
      <c r="B903" s="7">
        <v>41572</v>
      </c>
      <c r="C903" s="3" t="s">
        <v>43</v>
      </c>
      <c r="D903" s="6" t="s">
        <v>16</v>
      </c>
      <c r="E903" s="3" t="s">
        <v>12</v>
      </c>
      <c r="F903" s="5">
        <v>30</v>
      </c>
      <c r="G903" s="5">
        <v>8040</v>
      </c>
      <c r="H903" s="8">
        <f t="shared" si="52"/>
        <v>241200</v>
      </c>
      <c r="I903" s="8">
        <f t="shared" si="53"/>
        <v>24120</v>
      </c>
      <c r="J903" s="8" t="str">
        <f t="shared" si="54"/>
        <v/>
      </c>
      <c r="K903" s="8">
        <f t="shared" si="55"/>
        <v>265320</v>
      </c>
    </row>
    <row r="904" spans="2:11" hidden="1">
      <c r="B904" s="7">
        <v>41572</v>
      </c>
      <c r="C904" s="3" t="s">
        <v>39</v>
      </c>
      <c r="D904" s="6" t="s">
        <v>27</v>
      </c>
      <c r="E904" s="3" t="s">
        <v>1</v>
      </c>
      <c r="F904" s="5">
        <v>41</v>
      </c>
      <c r="G904" s="5">
        <v>9710</v>
      </c>
      <c r="H904" s="8">
        <f t="shared" si="52"/>
        <v>398110</v>
      </c>
      <c r="I904" s="8">
        <f t="shared" si="53"/>
        <v>39810</v>
      </c>
      <c r="J904" s="8">
        <f t="shared" si="54"/>
        <v>437920</v>
      </c>
      <c r="K904" s="8" t="str">
        <f t="shared" si="55"/>
        <v/>
      </c>
    </row>
    <row r="905" spans="2:11" hidden="1">
      <c r="B905" s="7">
        <v>41572</v>
      </c>
      <c r="C905" s="3" t="s">
        <v>37</v>
      </c>
      <c r="D905" s="6" t="s">
        <v>13</v>
      </c>
      <c r="E905" s="3" t="s">
        <v>0</v>
      </c>
      <c r="F905" s="5">
        <v>32</v>
      </c>
      <c r="G905" s="5">
        <v>4370</v>
      </c>
      <c r="H905" s="8">
        <f t="shared" si="52"/>
        <v>139840</v>
      </c>
      <c r="I905" s="8">
        <f t="shared" si="53"/>
        <v>13980</v>
      </c>
      <c r="J905" s="8">
        <f t="shared" si="54"/>
        <v>153820</v>
      </c>
      <c r="K905" s="8" t="str">
        <f t="shared" si="55"/>
        <v/>
      </c>
    </row>
    <row r="906" spans="2:11" hidden="1">
      <c r="B906" s="7">
        <v>41572</v>
      </c>
      <c r="C906" s="3" t="s">
        <v>41</v>
      </c>
      <c r="D906" s="6" t="s">
        <v>19</v>
      </c>
      <c r="E906" s="3" t="s">
        <v>0</v>
      </c>
      <c r="F906" s="5">
        <v>24</v>
      </c>
      <c r="G906" s="5">
        <v>4940</v>
      </c>
      <c r="H906" s="8">
        <f t="shared" si="52"/>
        <v>118560</v>
      </c>
      <c r="I906" s="8">
        <f t="shared" si="53"/>
        <v>11850</v>
      </c>
      <c r="J906" s="8">
        <f t="shared" si="54"/>
        <v>130410</v>
      </c>
      <c r="K906" s="8" t="str">
        <f t="shared" si="55"/>
        <v/>
      </c>
    </row>
    <row r="907" spans="2:11" hidden="1">
      <c r="B907" s="7">
        <v>41573</v>
      </c>
      <c r="C907" s="3" t="s">
        <v>40</v>
      </c>
      <c r="D907" s="6" t="s">
        <v>24</v>
      </c>
      <c r="E907" s="3" t="s">
        <v>0</v>
      </c>
      <c r="F907" s="5">
        <v>24</v>
      </c>
      <c r="G907" s="5">
        <v>3310</v>
      </c>
      <c r="H907" s="8">
        <f t="shared" si="52"/>
        <v>79440</v>
      </c>
      <c r="I907" s="8">
        <f t="shared" si="53"/>
        <v>7940</v>
      </c>
      <c r="J907" s="8">
        <f t="shared" si="54"/>
        <v>87380</v>
      </c>
      <c r="K907" s="8" t="str">
        <f t="shared" si="55"/>
        <v/>
      </c>
    </row>
    <row r="908" spans="2:11" hidden="1">
      <c r="B908" s="7">
        <v>41575</v>
      </c>
      <c r="C908" s="3" t="s">
        <v>40</v>
      </c>
      <c r="D908" s="6" t="s">
        <v>14</v>
      </c>
      <c r="E908" s="3" t="s">
        <v>12</v>
      </c>
      <c r="F908" s="5">
        <v>18</v>
      </c>
      <c r="G908" s="5">
        <v>5030</v>
      </c>
      <c r="H908" s="8">
        <f t="shared" si="52"/>
        <v>90540</v>
      </c>
      <c r="I908" s="8">
        <f t="shared" si="53"/>
        <v>9050</v>
      </c>
      <c r="J908" s="8" t="str">
        <f t="shared" si="54"/>
        <v/>
      </c>
      <c r="K908" s="8">
        <f t="shared" si="55"/>
        <v>99590</v>
      </c>
    </row>
    <row r="909" spans="2:11" hidden="1">
      <c r="B909" s="7">
        <v>41576</v>
      </c>
      <c r="C909" s="3" t="s">
        <v>37</v>
      </c>
      <c r="D909" s="6" t="s">
        <v>26</v>
      </c>
      <c r="E909" s="3" t="s">
        <v>12</v>
      </c>
      <c r="F909" s="5">
        <v>27</v>
      </c>
      <c r="G909" s="5">
        <v>8700</v>
      </c>
      <c r="H909" s="8">
        <f t="shared" ref="H909:H972" si="56">F909*G909</f>
        <v>234900</v>
      </c>
      <c r="I909" s="8">
        <f t="shared" ref="I909:I972" si="57">TRUNC(H909*10%,-1)</f>
        <v>23490</v>
      </c>
      <c r="J909" s="8" t="str">
        <f t="shared" ref="J909:J972" si="58">IF(E909="매입",H909+I909,"")</f>
        <v/>
      </c>
      <c r="K909" s="8">
        <f t="shared" ref="K909:K972" si="59">IF(E909="매출",H909+I909,"")</f>
        <v>258390</v>
      </c>
    </row>
    <row r="910" spans="2:11" hidden="1">
      <c r="B910" s="7">
        <v>41576</v>
      </c>
      <c r="C910" s="3" t="s">
        <v>42</v>
      </c>
      <c r="D910" s="6" t="s">
        <v>18</v>
      </c>
      <c r="E910" s="3" t="s">
        <v>12</v>
      </c>
      <c r="F910" s="5">
        <v>44</v>
      </c>
      <c r="G910" s="5">
        <v>10260</v>
      </c>
      <c r="H910" s="8">
        <f t="shared" si="56"/>
        <v>451440</v>
      </c>
      <c r="I910" s="8">
        <f t="shared" si="57"/>
        <v>45140</v>
      </c>
      <c r="J910" s="8" t="str">
        <f t="shared" si="58"/>
        <v/>
      </c>
      <c r="K910" s="8">
        <f t="shared" si="59"/>
        <v>496580</v>
      </c>
    </row>
    <row r="911" spans="2:11" hidden="1">
      <c r="B911" s="7">
        <v>41577</v>
      </c>
      <c r="C911" s="3" t="s">
        <v>44</v>
      </c>
      <c r="D911" s="6" t="s">
        <v>29</v>
      </c>
      <c r="E911" s="3" t="s">
        <v>12</v>
      </c>
      <c r="F911" s="5">
        <v>19</v>
      </c>
      <c r="G911" s="5">
        <v>8080</v>
      </c>
      <c r="H911" s="8">
        <f t="shared" si="56"/>
        <v>153520</v>
      </c>
      <c r="I911" s="8">
        <f t="shared" si="57"/>
        <v>15350</v>
      </c>
      <c r="J911" s="8" t="str">
        <f t="shared" si="58"/>
        <v/>
      </c>
      <c r="K911" s="8">
        <f t="shared" si="59"/>
        <v>168870</v>
      </c>
    </row>
    <row r="912" spans="2:11" hidden="1">
      <c r="B912" s="7">
        <v>41577</v>
      </c>
      <c r="C912" s="3" t="s">
        <v>42</v>
      </c>
      <c r="D912" s="6" t="s">
        <v>16</v>
      </c>
      <c r="E912" s="3" t="s">
        <v>12</v>
      </c>
      <c r="F912" s="5">
        <v>25</v>
      </c>
      <c r="G912" s="5">
        <v>11150</v>
      </c>
      <c r="H912" s="8">
        <f t="shared" si="56"/>
        <v>278750</v>
      </c>
      <c r="I912" s="8">
        <f t="shared" si="57"/>
        <v>27870</v>
      </c>
      <c r="J912" s="8" t="str">
        <f t="shared" si="58"/>
        <v/>
      </c>
      <c r="K912" s="8">
        <f t="shared" si="59"/>
        <v>306620</v>
      </c>
    </row>
    <row r="913" spans="2:11" hidden="1">
      <c r="B913" s="7">
        <v>41577</v>
      </c>
      <c r="C913" s="3" t="s">
        <v>40</v>
      </c>
      <c r="D913" s="6" t="s">
        <v>17</v>
      </c>
      <c r="E913" s="3" t="s">
        <v>0</v>
      </c>
      <c r="F913" s="5">
        <v>37</v>
      </c>
      <c r="G913" s="5">
        <v>12980</v>
      </c>
      <c r="H913" s="8">
        <f t="shared" si="56"/>
        <v>480260</v>
      </c>
      <c r="I913" s="8">
        <f t="shared" si="57"/>
        <v>48020</v>
      </c>
      <c r="J913" s="8">
        <f t="shared" si="58"/>
        <v>528280</v>
      </c>
      <c r="K913" s="8" t="str">
        <f t="shared" si="59"/>
        <v/>
      </c>
    </row>
    <row r="914" spans="2:11" hidden="1">
      <c r="B914" s="7">
        <v>41578</v>
      </c>
      <c r="C914" s="3" t="s">
        <v>36</v>
      </c>
      <c r="D914" s="6" t="s">
        <v>19</v>
      </c>
      <c r="E914" s="3" t="s">
        <v>0</v>
      </c>
      <c r="F914" s="5">
        <v>11</v>
      </c>
      <c r="G914" s="5">
        <v>3270</v>
      </c>
      <c r="H914" s="8">
        <f t="shared" si="56"/>
        <v>35970</v>
      </c>
      <c r="I914" s="8">
        <f t="shared" si="57"/>
        <v>3590</v>
      </c>
      <c r="J914" s="8">
        <f t="shared" si="58"/>
        <v>39560</v>
      </c>
      <c r="K914" s="8" t="str">
        <f t="shared" si="59"/>
        <v/>
      </c>
    </row>
    <row r="915" spans="2:11" hidden="1">
      <c r="B915" s="7">
        <v>41578</v>
      </c>
      <c r="C915" s="3" t="s">
        <v>38</v>
      </c>
      <c r="D915" s="6" t="s">
        <v>24</v>
      </c>
      <c r="E915" s="3" t="s">
        <v>0</v>
      </c>
      <c r="F915" s="5">
        <v>44</v>
      </c>
      <c r="G915" s="5">
        <v>4820</v>
      </c>
      <c r="H915" s="8">
        <f t="shared" si="56"/>
        <v>212080</v>
      </c>
      <c r="I915" s="8">
        <f t="shared" si="57"/>
        <v>21200</v>
      </c>
      <c r="J915" s="8">
        <f t="shared" si="58"/>
        <v>233280</v>
      </c>
      <c r="K915" s="8" t="str">
        <f t="shared" si="59"/>
        <v/>
      </c>
    </row>
    <row r="916" spans="2:11" hidden="1">
      <c r="B916" s="7">
        <v>41579</v>
      </c>
      <c r="C916" s="3" t="s">
        <v>43</v>
      </c>
      <c r="D916" s="6" t="s">
        <v>25</v>
      </c>
      <c r="E916" s="3" t="s">
        <v>12</v>
      </c>
      <c r="F916" s="5">
        <v>46</v>
      </c>
      <c r="G916" s="5">
        <v>9670</v>
      </c>
      <c r="H916" s="8">
        <f t="shared" si="56"/>
        <v>444820</v>
      </c>
      <c r="I916" s="8">
        <f t="shared" si="57"/>
        <v>44480</v>
      </c>
      <c r="J916" s="8" t="str">
        <f t="shared" si="58"/>
        <v/>
      </c>
      <c r="K916" s="8">
        <f t="shared" si="59"/>
        <v>489300</v>
      </c>
    </row>
    <row r="917" spans="2:11" hidden="1">
      <c r="B917" s="7">
        <v>41579</v>
      </c>
      <c r="C917" s="3" t="s">
        <v>38</v>
      </c>
      <c r="D917" s="6" t="s">
        <v>15</v>
      </c>
      <c r="E917" s="3" t="s">
        <v>0</v>
      </c>
      <c r="F917" s="5">
        <v>10</v>
      </c>
      <c r="G917" s="5">
        <v>3770</v>
      </c>
      <c r="H917" s="8">
        <f t="shared" si="56"/>
        <v>37700</v>
      </c>
      <c r="I917" s="8">
        <f t="shared" si="57"/>
        <v>3770</v>
      </c>
      <c r="J917" s="8">
        <f t="shared" si="58"/>
        <v>41470</v>
      </c>
      <c r="K917" s="8" t="str">
        <f t="shared" si="59"/>
        <v/>
      </c>
    </row>
    <row r="918" spans="2:11" hidden="1">
      <c r="B918" s="7">
        <v>41579</v>
      </c>
      <c r="C918" s="3" t="s">
        <v>41</v>
      </c>
      <c r="D918" s="6" t="s">
        <v>29</v>
      </c>
      <c r="E918" s="3" t="s">
        <v>0</v>
      </c>
      <c r="F918" s="5">
        <v>43</v>
      </c>
      <c r="G918" s="5">
        <v>4060</v>
      </c>
      <c r="H918" s="8">
        <f t="shared" si="56"/>
        <v>174580</v>
      </c>
      <c r="I918" s="8">
        <f t="shared" si="57"/>
        <v>17450</v>
      </c>
      <c r="J918" s="8">
        <f t="shared" si="58"/>
        <v>192030</v>
      </c>
      <c r="K918" s="8" t="str">
        <f t="shared" si="59"/>
        <v/>
      </c>
    </row>
    <row r="919" spans="2:11" hidden="1">
      <c r="B919" s="7">
        <v>41580</v>
      </c>
      <c r="C919" s="3" t="s">
        <v>40</v>
      </c>
      <c r="D919" s="6" t="s">
        <v>16</v>
      </c>
      <c r="E919" s="3" t="s">
        <v>12</v>
      </c>
      <c r="F919" s="5">
        <v>19</v>
      </c>
      <c r="G919" s="5">
        <v>7890</v>
      </c>
      <c r="H919" s="8">
        <f t="shared" si="56"/>
        <v>149910</v>
      </c>
      <c r="I919" s="8">
        <f t="shared" si="57"/>
        <v>14990</v>
      </c>
      <c r="J919" s="8" t="str">
        <f t="shared" si="58"/>
        <v/>
      </c>
      <c r="K919" s="8">
        <f t="shared" si="59"/>
        <v>164900</v>
      </c>
    </row>
    <row r="920" spans="2:11" hidden="1">
      <c r="B920" s="7">
        <v>41580</v>
      </c>
      <c r="C920" s="3" t="s">
        <v>42</v>
      </c>
      <c r="D920" s="6" t="s">
        <v>21</v>
      </c>
      <c r="E920" s="3" t="s">
        <v>12</v>
      </c>
      <c r="F920" s="5">
        <v>7</v>
      </c>
      <c r="G920" s="5">
        <v>8830</v>
      </c>
      <c r="H920" s="8">
        <f t="shared" si="56"/>
        <v>61810</v>
      </c>
      <c r="I920" s="8">
        <f t="shared" si="57"/>
        <v>6180</v>
      </c>
      <c r="J920" s="8" t="str">
        <f t="shared" si="58"/>
        <v/>
      </c>
      <c r="K920" s="8">
        <f t="shared" si="59"/>
        <v>67990</v>
      </c>
    </row>
    <row r="921" spans="2:11" hidden="1">
      <c r="B921" s="7">
        <v>41580</v>
      </c>
      <c r="C921" s="3" t="s">
        <v>36</v>
      </c>
      <c r="D921" s="6" t="s">
        <v>18</v>
      </c>
      <c r="E921" s="3" t="s">
        <v>35</v>
      </c>
      <c r="F921" s="5">
        <v>27</v>
      </c>
      <c r="G921" s="5">
        <v>9190</v>
      </c>
      <c r="H921" s="8">
        <f t="shared" si="56"/>
        <v>248130</v>
      </c>
      <c r="I921" s="8">
        <f t="shared" si="57"/>
        <v>24810</v>
      </c>
      <c r="J921" s="8" t="str">
        <f t="shared" si="58"/>
        <v/>
      </c>
      <c r="K921" s="8">
        <f t="shared" si="59"/>
        <v>272940</v>
      </c>
    </row>
    <row r="922" spans="2:11" hidden="1">
      <c r="B922" s="7">
        <v>41580</v>
      </c>
      <c r="C922" s="3" t="s">
        <v>41</v>
      </c>
      <c r="D922" s="6" t="s">
        <v>27</v>
      </c>
      <c r="E922" s="3" t="s">
        <v>1</v>
      </c>
      <c r="F922" s="5">
        <v>47</v>
      </c>
      <c r="G922" s="5">
        <v>9330</v>
      </c>
      <c r="H922" s="8">
        <f t="shared" si="56"/>
        <v>438510</v>
      </c>
      <c r="I922" s="8">
        <f t="shared" si="57"/>
        <v>43850</v>
      </c>
      <c r="J922" s="8">
        <f t="shared" si="58"/>
        <v>482360</v>
      </c>
      <c r="K922" s="8" t="str">
        <f t="shared" si="59"/>
        <v/>
      </c>
    </row>
    <row r="923" spans="2:11" hidden="1">
      <c r="B923" s="7">
        <v>41580</v>
      </c>
      <c r="C923" s="3" t="s">
        <v>39</v>
      </c>
      <c r="D923" s="6" t="s">
        <v>14</v>
      </c>
      <c r="E923" s="3" t="s">
        <v>0</v>
      </c>
      <c r="F923" s="5">
        <v>11</v>
      </c>
      <c r="G923" s="5">
        <v>3870</v>
      </c>
      <c r="H923" s="8">
        <f t="shared" si="56"/>
        <v>42570</v>
      </c>
      <c r="I923" s="8">
        <f t="shared" si="57"/>
        <v>4250</v>
      </c>
      <c r="J923" s="8">
        <f t="shared" si="58"/>
        <v>46820</v>
      </c>
      <c r="K923" s="8" t="str">
        <f t="shared" si="59"/>
        <v/>
      </c>
    </row>
    <row r="924" spans="2:11" hidden="1">
      <c r="B924" s="7">
        <v>41581</v>
      </c>
      <c r="C924" s="3" t="s">
        <v>37</v>
      </c>
      <c r="D924" s="6" t="s">
        <v>14</v>
      </c>
      <c r="E924" s="3" t="s">
        <v>12</v>
      </c>
      <c r="F924" s="5">
        <v>47</v>
      </c>
      <c r="G924" s="5">
        <v>3970</v>
      </c>
      <c r="H924" s="8">
        <f t="shared" si="56"/>
        <v>186590</v>
      </c>
      <c r="I924" s="8">
        <f t="shared" si="57"/>
        <v>18650</v>
      </c>
      <c r="J924" s="8" t="str">
        <f t="shared" si="58"/>
        <v/>
      </c>
      <c r="K924" s="8">
        <f t="shared" si="59"/>
        <v>205240</v>
      </c>
    </row>
    <row r="925" spans="2:11" hidden="1">
      <c r="B925" s="7">
        <v>41581</v>
      </c>
      <c r="C925" s="3" t="s">
        <v>41</v>
      </c>
      <c r="D925" s="6" t="s">
        <v>22</v>
      </c>
      <c r="E925" s="3" t="s">
        <v>0</v>
      </c>
      <c r="F925" s="5">
        <v>10</v>
      </c>
      <c r="G925" s="5">
        <v>3650</v>
      </c>
      <c r="H925" s="8">
        <f t="shared" si="56"/>
        <v>36500</v>
      </c>
      <c r="I925" s="8">
        <f t="shared" si="57"/>
        <v>3650</v>
      </c>
      <c r="J925" s="8">
        <f t="shared" si="58"/>
        <v>40150</v>
      </c>
      <c r="K925" s="8" t="str">
        <f t="shared" si="59"/>
        <v/>
      </c>
    </row>
    <row r="926" spans="2:11" hidden="1">
      <c r="B926" s="7">
        <v>41581</v>
      </c>
      <c r="C926" s="3" t="s">
        <v>44</v>
      </c>
      <c r="D926" s="6" t="s">
        <v>29</v>
      </c>
      <c r="E926" s="3" t="s">
        <v>0</v>
      </c>
      <c r="F926" s="5">
        <v>38</v>
      </c>
      <c r="G926" s="5">
        <v>4190</v>
      </c>
      <c r="H926" s="8">
        <f t="shared" si="56"/>
        <v>159220</v>
      </c>
      <c r="I926" s="8">
        <f t="shared" si="57"/>
        <v>15920</v>
      </c>
      <c r="J926" s="8">
        <f t="shared" si="58"/>
        <v>175140</v>
      </c>
      <c r="K926" s="8" t="str">
        <f t="shared" si="59"/>
        <v/>
      </c>
    </row>
    <row r="927" spans="2:11" hidden="1">
      <c r="B927" s="7">
        <v>41582</v>
      </c>
      <c r="C927" s="3" t="s">
        <v>43</v>
      </c>
      <c r="D927" s="6" t="s">
        <v>26</v>
      </c>
      <c r="E927" s="3" t="s">
        <v>12</v>
      </c>
      <c r="F927" s="5">
        <v>17</v>
      </c>
      <c r="G927" s="5">
        <v>6700</v>
      </c>
      <c r="H927" s="8">
        <f t="shared" si="56"/>
        <v>113900</v>
      </c>
      <c r="I927" s="8">
        <f t="shared" si="57"/>
        <v>11390</v>
      </c>
      <c r="J927" s="8" t="str">
        <f t="shared" si="58"/>
        <v/>
      </c>
      <c r="K927" s="8">
        <f t="shared" si="59"/>
        <v>125290</v>
      </c>
    </row>
    <row r="928" spans="2:11" hidden="1">
      <c r="B928" s="7">
        <v>41582</v>
      </c>
      <c r="C928" s="3" t="s">
        <v>37</v>
      </c>
      <c r="D928" s="6" t="s">
        <v>26</v>
      </c>
      <c r="E928" s="3" t="s">
        <v>12</v>
      </c>
      <c r="F928" s="5">
        <v>33</v>
      </c>
      <c r="G928" s="5">
        <v>7700</v>
      </c>
      <c r="H928" s="8">
        <f t="shared" si="56"/>
        <v>254100</v>
      </c>
      <c r="I928" s="8">
        <f t="shared" si="57"/>
        <v>25410</v>
      </c>
      <c r="J928" s="8" t="str">
        <f t="shared" si="58"/>
        <v/>
      </c>
      <c r="K928" s="8">
        <f t="shared" si="59"/>
        <v>279510</v>
      </c>
    </row>
    <row r="929" spans="2:11" hidden="1">
      <c r="B929" s="7">
        <v>41582</v>
      </c>
      <c r="C929" s="3" t="s">
        <v>36</v>
      </c>
      <c r="D929" s="6" t="s">
        <v>27</v>
      </c>
      <c r="E929" s="3" t="s">
        <v>0</v>
      </c>
      <c r="F929" s="5">
        <v>6</v>
      </c>
      <c r="G929" s="5">
        <v>2680</v>
      </c>
      <c r="H929" s="8">
        <f t="shared" si="56"/>
        <v>16080</v>
      </c>
      <c r="I929" s="8">
        <f t="shared" si="57"/>
        <v>1600</v>
      </c>
      <c r="J929" s="8">
        <f t="shared" si="58"/>
        <v>17680</v>
      </c>
      <c r="K929" s="8" t="str">
        <f t="shared" si="59"/>
        <v/>
      </c>
    </row>
    <row r="930" spans="2:11" hidden="1">
      <c r="B930" s="7">
        <v>41583</v>
      </c>
      <c r="C930" s="3" t="s">
        <v>43</v>
      </c>
      <c r="D930" s="6" t="s">
        <v>24</v>
      </c>
      <c r="E930" s="3" t="s">
        <v>12</v>
      </c>
      <c r="F930" s="5">
        <v>38</v>
      </c>
      <c r="G930" s="5">
        <v>6450</v>
      </c>
      <c r="H930" s="8">
        <f t="shared" si="56"/>
        <v>245100</v>
      </c>
      <c r="I930" s="8">
        <f t="shared" si="57"/>
        <v>24510</v>
      </c>
      <c r="J930" s="8" t="str">
        <f t="shared" si="58"/>
        <v/>
      </c>
      <c r="K930" s="8">
        <f t="shared" si="59"/>
        <v>269610</v>
      </c>
    </row>
    <row r="931" spans="2:11" hidden="1">
      <c r="B931" s="7">
        <v>41583</v>
      </c>
      <c r="C931" s="3" t="s">
        <v>45</v>
      </c>
      <c r="D931" s="6" t="s">
        <v>20</v>
      </c>
      <c r="E931" s="3" t="s">
        <v>12</v>
      </c>
      <c r="F931" s="5">
        <v>44</v>
      </c>
      <c r="G931" s="5">
        <v>8250</v>
      </c>
      <c r="H931" s="8">
        <f t="shared" si="56"/>
        <v>363000</v>
      </c>
      <c r="I931" s="8">
        <f t="shared" si="57"/>
        <v>36300</v>
      </c>
      <c r="J931" s="8" t="str">
        <f t="shared" si="58"/>
        <v/>
      </c>
      <c r="K931" s="8">
        <f t="shared" si="59"/>
        <v>399300</v>
      </c>
    </row>
    <row r="932" spans="2:11" hidden="1">
      <c r="B932" s="7">
        <v>41583</v>
      </c>
      <c r="C932" s="3" t="s">
        <v>41</v>
      </c>
      <c r="D932" s="6" t="s">
        <v>28</v>
      </c>
      <c r="E932" s="3" t="s">
        <v>12</v>
      </c>
      <c r="F932" s="5">
        <v>39</v>
      </c>
      <c r="G932" s="5">
        <v>8630</v>
      </c>
      <c r="H932" s="8">
        <f t="shared" si="56"/>
        <v>336570</v>
      </c>
      <c r="I932" s="8">
        <f t="shared" si="57"/>
        <v>33650</v>
      </c>
      <c r="J932" s="8" t="str">
        <f t="shared" si="58"/>
        <v/>
      </c>
      <c r="K932" s="8">
        <f t="shared" si="59"/>
        <v>370220</v>
      </c>
    </row>
    <row r="933" spans="2:11" hidden="1">
      <c r="B933" s="7">
        <v>41583</v>
      </c>
      <c r="C933" s="3" t="s">
        <v>37</v>
      </c>
      <c r="D933" s="6" t="s">
        <v>20</v>
      </c>
      <c r="E933" s="3" t="s">
        <v>12</v>
      </c>
      <c r="F933" s="5">
        <v>12</v>
      </c>
      <c r="G933" s="5">
        <v>9860</v>
      </c>
      <c r="H933" s="8">
        <f t="shared" si="56"/>
        <v>118320</v>
      </c>
      <c r="I933" s="8">
        <f t="shared" si="57"/>
        <v>11830</v>
      </c>
      <c r="J933" s="8" t="str">
        <f t="shared" si="58"/>
        <v/>
      </c>
      <c r="K933" s="8">
        <f t="shared" si="59"/>
        <v>130150</v>
      </c>
    </row>
    <row r="934" spans="2:11" hidden="1">
      <c r="B934" s="7">
        <v>41583</v>
      </c>
      <c r="C934" s="3" t="s">
        <v>37</v>
      </c>
      <c r="D934" s="6" t="s">
        <v>28</v>
      </c>
      <c r="E934" s="3" t="s">
        <v>0</v>
      </c>
      <c r="F934" s="5">
        <v>38</v>
      </c>
      <c r="G934" s="5">
        <v>1350</v>
      </c>
      <c r="H934" s="8">
        <f t="shared" si="56"/>
        <v>51300</v>
      </c>
      <c r="I934" s="8">
        <f t="shared" si="57"/>
        <v>5130</v>
      </c>
      <c r="J934" s="8">
        <f t="shared" si="58"/>
        <v>56430</v>
      </c>
      <c r="K934" s="8" t="str">
        <f t="shared" si="59"/>
        <v/>
      </c>
    </row>
    <row r="935" spans="2:11" hidden="1">
      <c r="B935" s="7">
        <v>41583</v>
      </c>
      <c r="C935" s="3" t="s">
        <v>39</v>
      </c>
      <c r="D935" s="6" t="s">
        <v>26</v>
      </c>
      <c r="E935" s="3" t="s">
        <v>0</v>
      </c>
      <c r="F935" s="5">
        <v>27</v>
      </c>
      <c r="G935" s="5">
        <v>1810</v>
      </c>
      <c r="H935" s="8">
        <f t="shared" si="56"/>
        <v>48870</v>
      </c>
      <c r="I935" s="8">
        <f t="shared" si="57"/>
        <v>4880</v>
      </c>
      <c r="J935" s="8">
        <f t="shared" si="58"/>
        <v>53750</v>
      </c>
      <c r="K935" s="8" t="str">
        <f t="shared" si="59"/>
        <v/>
      </c>
    </row>
    <row r="936" spans="2:11" hidden="1">
      <c r="B936" s="7">
        <v>41584</v>
      </c>
      <c r="C936" s="3" t="s">
        <v>43</v>
      </c>
      <c r="D936" s="6" t="s">
        <v>24</v>
      </c>
      <c r="E936" s="3" t="s">
        <v>12</v>
      </c>
      <c r="F936" s="5">
        <v>46</v>
      </c>
      <c r="G936" s="5">
        <v>7450</v>
      </c>
      <c r="H936" s="8">
        <f t="shared" si="56"/>
        <v>342700</v>
      </c>
      <c r="I936" s="8">
        <f t="shared" si="57"/>
        <v>34270</v>
      </c>
      <c r="J936" s="8" t="str">
        <f t="shared" si="58"/>
        <v/>
      </c>
      <c r="K936" s="8">
        <f t="shared" si="59"/>
        <v>376970</v>
      </c>
    </row>
    <row r="937" spans="2:11" hidden="1">
      <c r="B937" s="7">
        <v>41584</v>
      </c>
      <c r="C937" s="3" t="s">
        <v>44</v>
      </c>
      <c r="D937" s="6" t="s">
        <v>24</v>
      </c>
      <c r="E937" s="3" t="s">
        <v>0</v>
      </c>
      <c r="F937" s="5">
        <v>8</v>
      </c>
      <c r="G937" s="5">
        <v>1930</v>
      </c>
      <c r="H937" s="8">
        <f t="shared" si="56"/>
        <v>15440</v>
      </c>
      <c r="I937" s="8">
        <f t="shared" si="57"/>
        <v>1540</v>
      </c>
      <c r="J937" s="8">
        <f t="shared" si="58"/>
        <v>16980</v>
      </c>
      <c r="K937" s="8" t="str">
        <f t="shared" si="59"/>
        <v/>
      </c>
    </row>
    <row r="938" spans="2:11" hidden="1">
      <c r="B938" s="7">
        <v>41585</v>
      </c>
      <c r="C938" s="3" t="s">
        <v>40</v>
      </c>
      <c r="D938" s="6" t="s">
        <v>23</v>
      </c>
      <c r="E938" s="3" t="s">
        <v>12</v>
      </c>
      <c r="F938" s="5">
        <v>7</v>
      </c>
      <c r="G938" s="5">
        <v>7450</v>
      </c>
      <c r="H938" s="8">
        <f t="shared" si="56"/>
        <v>52150</v>
      </c>
      <c r="I938" s="8">
        <f t="shared" si="57"/>
        <v>5210</v>
      </c>
      <c r="J938" s="8" t="str">
        <f t="shared" si="58"/>
        <v/>
      </c>
      <c r="K938" s="8">
        <f t="shared" si="59"/>
        <v>57360</v>
      </c>
    </row>
    <row r="939" spans="2:11" hidden="1">
      <c r="B939" s="7">
        <v>41585</v>
      </c>
      <c r="C939" s="3" t="s">
        <v>36</v>
      </c>
      <c r="D939" s="6" t="s">
        <v>15</v>
      </c>
      <c r="E939" s="3" t="s">
        <v>1</v>
      </c>
      <c r="F939" s="5">
        <v>19</v>
      </c>
      <c r="G939" s="5">
        <v>8580</v>
      </c>
      <c r="H939" s="8">
        <f t="shared" si="56"/>
        <v>163020</v>
      </c>
      <c r="I939" s="8">
        <f t="shared" si="57"/>
        <v>16300</v>
      </c>
      <c r="J939" s="8">
        <f t="shared" si="58"/>
        <v>179320</v>
      </c>
      <c r="K939" s="8" t="str">
        <f t="shared" si="59"/>
        <v/>
      </c>
    </row>
    <row r="940" spans="2:11" hidden="1">
      <c r="B940" s="7">
        <v>41585</v>
      </c>
      <c r="C940" s="3" t="s">
        <v>38</v>
      </c>
      <c r="D940" s="6" t="s">
        <v>22</v>
      </c>
      <c r="E940" s="3" t="s">
        <v>0</v>
      </c>
      <c r="F940" s="5">
        <v>7</v>
      </c>
      <c r="G940" s="5">
        <v>3900</v>
      </c>
      <c r="H940" s="8">
        <f t="shared" si="56"/>
        <v>27300</v>
      </c>
      <c r="I940" s="8">
        <f t="shared" si="57"/>
        <v>2730</v>
      </c>
      <c r="J940" s="8">
        <f t="shared" si="58"/>
        <v>30030</v>
      </c>
      <c r="K940" s="8" t="str">
        <f t="shared" si="59"/>
        <v/>
      </c>
    </row>
    <row r="941" spans="2:11" hidden="1">
      <c r="B941" s="7">
        <v>41585</v>
      </c>
      <c r="C941" s="3" t="s">
        <v>42</v>
      </c>
      <c r="D941" s="6" t="s">
        <v>23</v>
      </c>
      <c r="E941" s="3" t="s">
        <v>0</v>
      </c>
      <c r="F941" s="5">
        <v>31</v>
      </c>
      <c r="G941" s="5">
        <v>2180</v>
      </c>
      <c r="H941" s="8">
        <f t="shared" si="56"/>
        <v>67580</v>
      </c>
      <c r="I941" s="8">
        <f t="shared" si="57"/>
        <v>6750</v>
      </c>
      <c r="J941" s="8">
        <f t="shared" si="58"/>
        <v>74330</v>
      </c>
      <c r="K941" s="8" t="str">
        <f t="shared" si="59"/>
        <v/>
      </c>
    </row>
    <row r="942" spans="2:11" hidden="1">
      <c r="B942" s="7">
        <v>41586</v>
      </c>
      <c r="C942" s="3" t="s">
        <v>42</v>
      </c>
      <c r="D942" s="6" t="s">
        <v>19</v>
      </c>
      <c r="E942" s="3" t="s">
        <v>0</v>
      </c>
      <c r="F942" s="5">
        <v>9</v>
      </c>
      <c r="G942" s="5">
        <v>2060</v>
      </c>
      <c r="H942" s="8">
        <f t="shared" si="56"/>
        <v>18540</v>
      </c>
      <c r="I942" s="8">
        <f t="shared" si="57"/>
        <v>1850</v>
      </c>
      <c r="J942" s="8">
        <f t="shared" si="58"/>
        <v>20390</v>
      </c>
      <c r="K942" s="8" t="str">
        <f t="shared" si="59"/>
        <v/>
      </c>
    </row>
    <row r="943" spans="2:11" hidden="1">
      <c r="B943" s="7">
        <v>41586</v>
      </c>
      <c r="C943" s="3" t="s">
        <v>40</v>
      </c>
      <c r="D943" s="6" t="s">
        <v>29</v>
      </c>
      <c r="E943" s="3" t="s">
        <v>0</v>
      </c>
      <c r="F943" s="5">
        <v>33</v>
      </c>
      <c r="G943" s="5">
        <v>4190</v>
      </c>
      <c r="H943" s="8">
        <f t="shared" si="56"/>
        <v>138270</v>
      </c>
      <c r="I943" s="8">
        <f t="shared" si="57"/>
        <v>13820</v>
      </c>
      <c r="J943" s="8">
        <f t="shared" si="58"/>
        <v>152090</v>
      </c>
      <c r="K943" s="8" t="str">
        <f t="shared" si="59"/>
        <v/>
      </c>
    </row>
    <row r="944" spans="2:11" hidden="1">
      <c r="B944" s="7">
        <v>41587</v>
      </c>
      <c r="C944" s="3" t="s">
        <v>41</v>
      </c>
      <c r="D944" s="6" t="s">
        <v>20</v>
      </c>
      <c r="E944" s="3" t="s">
        <v>12</v>
      </c>
      <c r="F944" s="5">
        <v>22</v>
      </c>
      <c r="G944" s="5">
        <v>7720</v>
      </c>
      <c r="H944" s="8">
        <f t="shared" si="56"/>
        <v>169840</v>
      </c>
      <c r="I944" s="8">
        <f t="shared" si="57"/>
        <v>16980</v>
      </c>
      <c r="J944" s="8" t="str">
        <f t="shared" si="58"/>
        <v/>
      </c>
      <c r="K944" s="8">
        <f t="shared" si="59"/>
        <v>186820</v>
      </c>
    </row>
    <row r="945" spans="2:11" hidden="1">
      <c r="B945" s="7">
        <v>41587</v>
      </c>
      <c r="C945" s="3" t="s">
        <v>39</v>
      </c>
      <c r="D945" s="6" t="s">
        <v>13</v>
      </c>
      <c r="E945" s="3" t="s">
        <v>12</v>
      </c>
      <c r="F945" s="5">
        <v>9</v>
      </c>
      <c r="G945" s="5">
        <v>8790</v>
      </c>
      <c r="H945" s="8">
        <f t="shared" si="56"/>
        <v>79110</v>
      </c>
      <c r="I945" s="8">
        <f t="shared" si="57"/>
        <v>7910</v>
      </c>
      <c r="J945" s="8" t="str">
        <f t="shared" si="58"/>
        <v/>
      </c>
      <c r="K945" s="8">
        <f t="shared" si="59"/>
        <v>87020</v>
      </c>
    </row>
    <row r="946" spans="2:11" hidden="1">
      <c r="B946" s="7">
        <v>41588</v>
      </c>
      <c r="C946" s="3" t="s">
        <v>44</v>
      </c>
      <c r="D946" s="6" t="s">
        <v>29</v>
      </c>
      <c r="E946" s="3" t="s">
        <v>12</v>
      </c>
      <c r="F946" s="5">
        <v>27</v>
      </c>
      <c r="G946" s="5">
        <v>7570</v>
      </c>
      <c r="H946" s="8">
        <f t="shared" si="56"/>
        <v>204390</v>
      </c>
      <c r="I946" s="8">
        <f t="shared" si="57"/>
        <v>20430</v>
      </c>
      <c r="J946" s="8" t="str">
        <f t="shared" si="58"/>
        <v/>
      </c>
      <c r="K946" s="8">
        <f t="shared" si="59"/>
        <v>224820</v>
      </c>
    </row>
    <row r="947" spans="2:11" hidden="1">
      <c r="B947" s="7">
        <v>41588</v>
      </c>
      <c r="C947" s="3" t="s">
        <v>44</v>
      </c>
      <c r="D947" s="6" t="s">
        <v>22</v>
      </c>
      <c r="E947" s="3" t="s">
        <v>1</v>
      </c>
      <c r="F947" s="5">
        <v>38</v>
      </c>
      <c r="G947" s="5">
        <v>8700</v>
      </c>
      <c r="H947" s="8">
        <f t="shared" si="56"/>
        <v>330600</v>
      </c>
      <c r="I947" s="8">
        <f t="shared" si="57"/>
        <v>33060</v>
      </c>
      <c r="J947" s="8">
        <f t="shared" si="58"/>
        <v>363660</v>
      </c>
      <c r="K947" s="8" t="str">
        <f t="shared" si="59"/>
        <v/>
      </c>
    </row>
    <row r="948" spans="2:11" hidden="1">
      <c r="B948" s="7">
        <v>41588</v>
      </c>
      <c r="C948" s="3" t="s">
        <v>41</v>
      </c>
      <c r="D948" s="6" t="s">
        <v>18</v>
      </c>
      <c r="E948" s="3" t="s">
        <v>12</v>
      </c>
      <c r="F948" s="5">
        <v>25</v>
      </c>
      <c r="G948" s="5">
        <v>9460</v>
      </c>
      <c r="H948" s="8">
        <f t="shared" si="56"/>
        <v>236500</v>
      </c>
      <c r="I948" s="8">
        <f t="shared" si="57"/>
        <v>23650</v>
      </c>
      <c r="J948" s="8" t="str">
        <f t="shared" si="58"/>
        <v/>
      </c>
      <c r="K948" s="8">
        <f t="shared" si="59"/>
        <v>260150</v>
      </c>
    </row>
    <row r="949" spans="2:11" hidden="1">
      <c r="B949" s="7">
        <v>41588</v>
      </c>
      <c r="C949" s="3" t="s">
        <v>38</v>
      </c>
      <c r="D949" s="6" t="s">
        <v>18</v>
      </c>
      <c r="E949" s="3" t="s">
        <v>0</v>
      </c>
      <c r="F949" s="5">
        <v>39</v>
      </c>
      <c r="G949" s="5">
        <v>1550</v>
      </c>
      <c r="H949" s="8">
        <f t="shared" si="56"/>
        <v>60450</v>
      </c>
      <c r="I949" s="8">
        <f t="shared" si="57"/>
        <v>6040</v>
      </c>
      <c r="J949" s="8">
        <f t="shared" si="58"/>
        <v>66490</v>
      </c>
      <c r="K949" s="8" t="str">
        <f t="shared" si="59"/>
        <v/>
      </c>
    </row>
    <row r="950" spans="2:11" hidden="1">
      <c r="B950" s="7">
        <v>41589</v>
      </c>
      <c r="C950" s="3" t="s">
        <v>36</v>
      </c>
      <c r="D950" s="6" t="s">
        <v>23</v>
      </c>
      <c r="E950" s="3" t="s">
        <v>12</v>
      </c>
      <c r="F950" s="5">
        <v>46</v>
      </c>
      <c r="G950" s="5">
        <v>8450</v>
      </c>
      <c r="H950" s="8">
        <f t="shared" si="56"/>
        <v>388700</v>
      </c>
      <c r="I950" s="8">
        <f t="shared" si="57"/>
        <v>38870</v>
      </c>
      <c r="J950" s="8" t="str">
        <f t="shared" si="58"/>
        <v/>
      </c>
      <c r="K950" s="8">
        <f t="shared" si="59"/>
        <v>427570</v>
      </c>
    </row>
    <row r="951" spans="2:11" hidden="1">
      <c r="B951" s="7">
        <v>41589</v>
      </c>
      <c r="C951" s="3" t="s">
        <v>43</v>
      </c>
      <c r="D951" s="6" t="s">
        <v>26</v>
      </c>
      <c r="E951" s="3" t="s">
        <v>0</v>
      </c>
      <c r="F951" s="5">
        <v>13</v>
      </c>
      <c r="G951" s="5">
        <v>3560</v>
      </c>
      <c r="H951" s="8">
        <f t="shared" si="56"/>
        <v>46280</v>
      </c>
      <c r="I951" s="8">
        <f t="shared" si="57"/>
        <v>4620</v>
      </c>
      <c r="J951" s="8">
        <f t="shared" si="58"/>
        <v>50900</v>
      </c>
      <c r="K951" s="8" t="str">
        <f t="shared" si="59"/>
        <v/>
      </c>
    </row>
    <row r="952" spans="2:11" hidden="1">
      <c r="B952" s="7">
        <v>41590</v>
      </c>
      <c r="C952" s="3" t="s">
        <v>42</v>
      </c>
      <c r="D952" s="6" t="s">
        <v>11</v>
      </c>
      <c r="E952" s="3" t="s">
        <v>0</v>
      </c>
      <c r="F952" s="5">
        <v>8</v>
      </c>
      <c r="G952" s="5">
        <v>3400</v>
      </c>
      <c r="H952" s="8">
        <f t="shared" si="56"/>
        <v>27200</v>
      </c>
      <c r="I952" s="8">
        <f t="shared" si="57"/>
        <v>2720</v>
      </c>
      <c r="J952" s="8">
        <f t="shared" si="58"/>
        <v>29920</v>
      </c>
      <c r="K952" s="8" t="str">
        <f t="shared" si="59"/>
        <v/>
      </c>
    </row>
    <row r="953" spans="2:11" hidden="1">
      <c r="B953" s="7">
        <v>41590</v>
      </c>
      <c r="C953" s="3" t="s">
        <v>40</v>
      </c>
      <c r="D953" s="6" t="s">
        <v>29</v>
      </c>
      <c r="E953" s="3" t="s">
        <v>0</v>
      </c>
      <c r="F953" s="5">
        <v>18</v>
      </c>
      <c r="G953" s="5">
        <v>1550</v>
      </c>
      <c r="H953" s="8">
        <f t="shared" si="56"/>
        <v>27900</v>
      </c>
      <c r="I953" s="8">
        <f t="shared" si="57"/>
        <v>2790</v>
      </c>
      <c r="J953" s="8">
        <f t="shared" si="58"/>
        <v>30690</v>
      </c>
      <c r="K953" s="8" t="str">
        <f t="shared" si="59"/>
        <v/>
      </c>
    </row>
    <row r="954" spans="2:11" hidden="1">
      <c r="B954" s="7">
        <v>41590</v>
      </c>
      <c r="C954" s="3" t="s">
        <v>41</v>
      </c>
      <c r="D954" s="6" t="s">
        <v>28</v>
      </c>
      <c r="E954" s="3" t="s">
        <v>0</v>
      </c>
      <c r="F954" s="5">
        <v>11</v>
      </c>
      <c r="G954" s="5">
        <v>2690</v>
      </c>
      <c r="H954" s="8">
        <f t="shared" si="56"/>
        <v>29590</v>
      </c>
      <c r="I954" s="8">
        <f t="shared" si="57"/>
        <v>2950</v>
      </c>
      <c r="J954" s="8">
        <f t="shared" si="58"/>
        <v>32540</v>
      </c>
      <c r="K954" s="8" t="str">
        <f t="shared" si="59"/>
        <v/>
      </c>
    </row>
    <row r="955" spans="2:11" hidden="1">
      <c r="B955" s="7">
        <v>41590</v>
      </c>
      <c r="C955" s="3" t="s">
        <v>36</v>
      </c>
      <c r="D955" s="6" t="s">
        <v>26</v>
      </c>
      <c r="E955" s="3" t="s">
        <v>0</v>
      </c>
      <c r="F955" s="5">
        <v>29</v>
      </c>
      <c r="G955" s="5">
        <v>4060</v>
      </c>
      <c r="H955" s="8">
        <f t="shared" si="56"/>
        <v>117740</v>
      </c>
      <c r="I955" s="8">
        <f t="shared" si="57"/>
        <v>11770</v>
      </c>
      <c r="J955" s="8">
        <f t="shared" si="58"/>
        <v>129510</v>
      </c>
      <c r="K955" s="8" t="str">
        <f t="shared" si="59"/>
        <v/>
      </c>
    </row>
    <row r="956" spans="2:11" hidden="1">
      <c r="B956" s="7">
        <v>41591</v>
      </c>
      <c r="C956" s="3" t="s">
        <v>41</v>
      </c>
      <c r="D956" s="6" t="s">
        <v>18</v>
      </c>
      <c r="E956" s="3" t="s">
        <v>12</v>
      </c>
      <c r="F956" s="5">
        <v>45</v>
      </c>
      <c r="G956" s="5">
        <v>6910</v>
      </c>
      <c r="H956" s="8">
        <f t="shared" si="56"/>
        <v>310950</v>
      </c>
      <c r="I956" s="8">
        <f t="shared" si="57"/>
        <v>31090</v>
      </c>
      <c r="J956" s="8" t="str">
        <f t="shared" si="58"/>
        <v/>
      </c>
      <c r="K956" s="8">
        <f t="shared" si="59"/>
        <v>342040</v>
      </c>
    </row>
    <row r="957" spans="2:11" hidden="1">
      <c r="B957" s="7">
        <v>41591</v>
      </c>
      <c r="C957" s="3" t="s">
        <v>40</v>
      </c>
      <c r="D957" s="6" t="s">
        <v>16</v>
      </c>
      <c r="E957" s="3" t="s">
        <v>0</v>
      </c>
      <c r="F957" s="5">
        <v>45</v>
      </c>
      <c r="G957" s="5">
        <v>1950</v>
      </c>
      <c r="H957" s="8">
        <f t="shared" si="56"/>
        <v>87750</v>
      </c>
      <c r="I957" s="8">
        <f t="shared" si="57"/>
        <v>8770</v>
      </c>
      <c r="J957" s="8">
        <f t="shared" si="58"/>
        <v>96520</v>
      </c>
      <c r="K957" s="8" t="str">
        <f t="shared" si="59"/>
        <v/>
      </c>
    </row>
    <row r="958" spans="2:11" hidden="1">
      <c r="B958" s="7">
        <v>41591</v>
      </c>
      <c r="C958" s="3" t="s">
        <v>44</v>
      </c>
      <c r="D958" s="6" t="s">
        <v>29</v>
      </c>
      <c r="E958" s="3" t="s">
        <v>0</v>
      </c>
      <c r="F958" s="5">
        <v>23</v>
      </c>
      <c r="G958" s="5">
        <v>3440</v>
      </c>
      <c r="H958" s="8">
        <f t="shared" si="56"/>
        <v>79120</v>
      </c>
      <c r="I958" s="8">
        <f t="shared" si="57"/>
        <v>7910</v>
      </c>
      <c r="J958" s="8">
        <f t="shared" si="58"/>
        <v>87030</v>
      </c>
      <c r="K958" s="8" t="str">
        <f t="shared" si="59"/>
        <v/>
      </c>
    </row>
    <row r="959" spans="2:11" hidden="1">
      <c r="B959" s="7">
        <v>41592</v>
      </c>
      <c r="C959" s="3" t="s">
        <v>43</v>
      </c>
      <c r="D959" s="6" t="s">
        <v>11</v>
      </c>
      <c r="E959" s="3" t="s">
        <v>12</v>
      </c>
      <c r="F959" s="5">
        <v>13</v>
      </c>
      <c r="G959" s="5">
        <v>6820</v>
      </c>
      <c r="H959" s="8">
        <f t="shared" si="56"/>
        <v>88660</v>
      </c>
      <c r="I959" s="8">
        <f t="shared" si="57"/>
        <v>8860</v>
      </c>
      <c r="J959" s="8" t="str">
        <f t="shared" si="58"/>
        <v/>
      </c>
      <c r="K959" s="8">
        <f t="shared" si="59"/>
        <v>97520</v>
      </c>
    </row>
    <row r="960" spans="2:11" hidden="1">
      <c r="B960" s="7">
        <v>41592</v>
      </c>
      <c r="C960" s="3" t="s">
        <v>42</v>
      </c>
      <c r="D960" s="6" t="s">
        <v>15</v>
      </c>
      <c r="E960" s="3" t="s">
        <v>1</v>
      </c>
      <c r="F960" s="5">
        <v>24</v>
      </c>
      <c r="G960" s="5">
        <v>8200</v>
      </c>
      <c r="H960" s="8">
        <f t="shared" si="56"/>
        <v>196800</v>
      </c>
      <c r="I960" s="8">
        <f t="shared" si="57"/>
        <v>19680</v>
      </c>
      <c r="J960" s="8">
        <f t="shared" si="58"/>
        <v>216480</v>
      </c>
      <c r="K960" s="8" t="str">
        <f t="shared" si="59"/>
        <v/>
      </c>
    </row>
    <row r="961" spans="2:11" hidden="1">
      <c r="B961" s="7">
        <v>41592</v>
      </c>
      <c r="C961" s="3" t="s">
        <v>37</v>
      </c>
      <c r="D961" s="6" t="s">
        <v>27</v>
      </c>
      <c r="E961" s="3" t="s">
        <v>12</v>
      </c>
      <c r="F961" s="5">
        <v>28</v>
      </c>
      <c r="G961" s="5">
        <v>9200</v>
      </c>
      <c r="H961" s="8">
        <f t="shared" si="56"/>
        <v>257600</v>
      </c>
      <c r="I961" s="8">
        <f t="shared" si="57"/>
        <v>25760</v>
      </c>
      <c r="J961" s="8" t="str">
        <f t="shared" si="58"/>
        <v/>
      </c>
      <c r="K961" s="8">
        <f t="shared" si="59"/>
        <v>283360</v>
      </c>
    </row>
    <row r="962" spans="2:11" hidden="1">
      <c r="B962" s="7">
        <v>41592</v>
      </c>
      <c r="C962" s="3" t="s">
        <v>43</v>
      </c>
      <c r="D962" s="6" t="s">
        <v>25</v>
      </c>
      <c r="E962" s="3" t="s">
        <v>12</v>
      </c>
      <c r="F962" s="5">
        <v>11</v>
      </c>
      <c r="G962" s="5">
        <v>10410</v>
      </c>
      <c r="H962" s="8">
        <f t="shared" si="56"/>
        <v>114510</v>
      </c>
      <c r="I962" s="8">
        <f t="shared" si="57"/>
        <v>11450</v>
      </c>
      <c r="J962" s="8" t="str">
        <f t="shared" si="58"/>
        <v/>
      </c>
      <c r="K962" s="8">
        <f t="shared" si="59"/>
        <v>125960</v>
      </c>
    </row>
    <row r="963" spans="2:11" hidden="1">
      <c r="B963" s="7">
        <v>41592</v>
      </c>
      <c r="C963" s="3" t="s">
        <v>37</v>
      </c>
      <c r="D963" s="6" t="s">
        <v>28</v>
      </c>
      <c r="E963" s="3" t="s">
        <v>12</v>
      </c>
      <c r="F963" s="5">
        <v>50</v>
      </c>
      <c r="G963" s="5">
        <v>12050</v>
      </c>
      <c r="H963" s="8">
        <f t="shared" si="56"/>
        <v>602500</v>
      </c>
      <c r="I963" s="8">
        <f t="shared" si="57"/>
        <v>60250</v>
      </c>
      <c r="J963" s="8" t="str">
        <f t="shared" si="58"/>
        <v/>
      </c>
      <c r="K963" s="8">
        <f t="shared" si="59"/>
        <v>662750</v>
      </c>
    </row>
    <row r="964" spans="2:11" hidden="1">
      <c r="B964" s="7">
        <v>41592</v>
      </c>
      <c r="C964" s="3" t="s">
        <v>40</v>
      </c>
      <c r="D964" s="6" t="s">
        <v>23</v>
      </c>
      <c r="E964" s="3" t="s">
        <v>0</v>
      </c>
      <c r="F964" s="5">
        <v>24</v>
      </c>
      <c r="G964" s="5">
        <v>4560</v>
      </c>
      <c r="H964" s="8">
        <f t="shared" si="56"/>
        <v>109440</v>
      </c>
      <c r="I964" s="8">
        <f t="shared" si="57"/>
        <v>10940</v>
      </c>
      <c r="J964" s="8">
        <f t="shared" si="58"/>
        <v>120380</v>
      </c>
      <c r="K964" s="8" t="str">
        <f t="shared" si="59"/>
        <v/>
      </c>
    </row>
    <row r="965" spans="2:11" hidden="1">
      <c r="B965" s="7">
        <v>41592</v>
      </c>
      <c r="C965" s="3" t="s">
        <v>45</v>
      </c>
      <c r="D965" s="6" t="s">
        <v>17</v>
      </c>
      <c r="E965" s="3" t="s">
        <v>0</v>
      </c>
      <c r="F965" s="5">
        <v>17</v>
      </c>
      <c r="G965" s="5">
        <v>11350</v>
      </c>
      <c r="H965" s="8">
        <f t="shared" si="56"/>
        <v>192950</v>
      </c>
      <c r="I965" s="8">
        <f t="shared" si="57"/>
        <v>19290</v>
      </c>
      <c r="J965" s="8">
        <f t="shared" si="58"/>
        <v>212240</v>
      </c>
      <c r="K965" s="8" t="str">
        <f t="shared" si="59"/>
        <v/>
      </c>
    </row>
    <row r="966" spans="2:11" hidden="1">
      <c r="B966" s="7">
        <v>41593</v>
      </c>
      <c r="C966" s="3" t="s">
        <v>44</v>
      </c>
      <c r="D966" s="6" t="s">
        <v>22</v>
      </c>
      <c r="E966" s="3" t="s">
        <v>12</v>
      </c>
      <c r="F966" s="5">
        <v>8</v>
      </c>
      <c r="G966" s="5">
        <v>8200</v>
      </c>
      <c r="H966" s="8">
        <f t="shared" si="56"/>
        <v>65600</v>
      </c>
      <c r="I966" s="8">
        <f t="shared" si="57"/>
        <v>6560</v>
      </c>
      <c r="J966" s="8" t="str">
        <f t="shared" si="58"/>
        <v/>
      </c>
      <c r="K966" s="8">
        <f t="shared" si="59"/>
        <v>72160</v>
      </c>
    </row>
    <row r="967" spans="2:11" hidden="1">
      <c r="B967" s="7">
        <v>41593</v>
      </c>
      <c r="C967" s="3" t="s">
        <v>36</v>
      </c>
      <c r="D967" s="6" t="s">
        <v>29</v>
      </c>
      <c r="E967" s="3" t="s">
        <v>1</v>
      </c>
      <c r="F967" s="5">
        <v>42</v>
      </c>
      <c r="G967" s="5">
        <v>9580</v>
      </c>
      <c r="H967" s="8">
        <f t="shared" si="56"/>
        <v>402360</v>
      </c>
      <c r="I967" s="8">
        <f t="shared" si="57"/>
        <v>40230</v>
      </c>
      <c r="J967" s="8">
        <f t="shared" si="58"/>
        <v>442590</v>
      </c>
      <c r="K967" s="8" t="str">
        <f t="shared" si="59"/>
        <v/>
      </c>
    </row>
    <row r="968" spans="2:11" hidden="1">
      <c r="B968" s="7">
        <v>41593</v>
      </c>
      <c r="C968" s="3" t="s">
        <v>41</v>
      </c>
      <c r="D968" s="6" t="s">
        <v>26</v>
      </c>
      <c r="E968" s="3" t="s">
        <v>0</v>
      </c>
      <c r="F968" s="5">
        <v>34</v>
      </c>
      <c r="G968" s="5">
        <v>4060</v>
      </c>
      <c r="H968" s="8">
        <f t="shared" si="56"/>
        <v>138040</v>
      </c>
      <c r="I968" s="8">
        <f t="shared" si="57"/>
        <v>13800</v>
      </c>
      <c r="J968" s="8">
        <f t="shared" si="58"/>
        <v>151840</v>
      </c>
      <c r="K968" s="8" t="str">
        <f t="shared" si="59"/>
        <v/>
      </c>
    </row>
    <row r="969" spans="2:11" hidden="1">
      <c r="B969" s="7">
        <v>41593</v>
      </c>
      <c r="C969" s="3" t="s">
        <v>42</v>
      </c>
      <c r="D969" s="6" t="s">
        <v>15</v>
      </c>
      <c r="E969" s="3" t="s">
        <v>0</v>
      </c>
      <c r="F969" s="5">
        <v>40</v>
      </c>
      <c r="G969" s="5">
        <v>4820</v>
      </c>
      <c r="H969" s="8">
        <f t="shared" si="56"/>
        <v>192800</v>
      </c>
      <c r="I969" s="8">
        <f t="shared" si="57"/>
        <v>19280</v>
      </c>
      <c r="J969" s="8">
        <f t="shared" si="58"/>
        <v>212080</v>
      </c>
      <c r="K969" s="8" t="str">
        <f t="shared" si="59"/>
        <v/>
      </c>
    </row>
    <row r="970" spans="2:11" hidden="1">
      <c r="B970" s="7">
        <v>41594</v>
      </c>
      <c r="C970" s="3" t="s">
        <v>40</v>
      </c>
      <c r="D970" s="6" t="s">
        <v>18</v>
      </c>
      <c r="E970" s="3" t="s">
        <v>12</v>
      </c>
      <c r="F970" s="5">
        <v>37</v>
      </c>
      <c r="G970" s="5">
        <v>6640</v>
      </c>
      <c r="H970" s="8">
        <f t="shared" si="56"/>
        <v>245680</v>
      </c>
      <c r="I970" s="8">
        <f t="shared" si="57"/>
        <v>24560</v>
      </c>
      <c r="J970" s="8" t="str">
        <f t="shared" si="58"/>
        <v/>
      </c>
      <c r="K970" s="8">
        <f t="shared" si="59"/>
        <v>270240</v>
      </c>
    </row>
    <row r="971" spans="2:11" hidden="1">
      <c r="B971" s="7">
        <v>41594</v>
      </c>
      <c r="C971" s="3" t="s">
        <v>45</v>
      </c>
      <c r="D971" s="6" t="s">
        <v>25</v>
      </c>
      <c r="E971" s="3" t="s">
        <v>12</v>
      </c>
      <c r="F971" s="5">
        <v>12</v>
      </c>
      <c r="G971" s="5">
        <v>9080</v>
      </c>
      <c r="H971" s="8">
        <f t="shared" si="56"/>
        <v>108960</v>
      </c>
      <c r="I971" s="8">
        <f t="shared" si="57"/>
        <v>10890</v>
      </c>
      <c r="J971" s="8" t="str">
        <f t="shared" si="58"/>
        <v/>
      </c>
      <c r="K971" s="8">
        <f t="shared" si="59"/>
        <v>119850</v>
      </c>
    </row>
    <row r="972" spans="2:11" hidden="1">
      <c r="B972" s="7">
        <v>41594</v>
      </c>
      <c r="C972" s="3" t="s">
        <v>38</v>
      </c>
      <c r="D972" s="6" t="s">
        <v>24</v>
      </c>
      <c r="E972" s="3" t="s">
        <v>12</v>
      </c>
      <c r="F972" s="5">
        <v>18</v>
      </c>
      <c r="G972" s="5">
        <v>9200</v>
      </c>
      <c r="H972" s="8">
        <f t="shared" si="56"/>
        <v>165600</v>
      </c>
      <c r="I972" s="8">
        <f t="shared" si="57"/>
        <v>16560</v>
      </c>
      <c r="J972" s="8" t="str">
        <f t="shared" si="58"/>
        <v/>
      </c>
      <c r="K972" s="8">
        <f t="shared" si="59"/>
        <v>182160</v>
      </c>
    </row>
    <row r="973" spans="2:11" hidden="1">
      <c r="B973" s="7">
        <v>41594</v>
      </c>
      <c r="C973" s="3" t="s">
        <v>38</v>
      </c>
      <c r="D973" s="6" t="s">
        <v>11</v>
      </c>
      <c r="E973" s="3" t="s">
        <v>0</v>
      </c>
      <c r="F973" s="5">
        <v>21</v>
      </c>
      <c r="G973" s="5">
        <v>3690</v>
      </c>
      <c r="H973" s="8">
        <f t="shared" ref="H973:H1010" si="60">F973*G973</f>
        <v>77490</v>
      </c>
      <c r="I973" s="8">
        <f t="shared" ref="I973:I1020" si="61">TRUNC(H973*10%,-1)</f>
        <v>7740</v>
      </c>
      <c r="J973" s="8">
        <f t="shared" ref="J973:J1010" si="62">IF(E973="매입",H973+I973,"")</f>
        <v>85230</v>
      </c>
      <c r="K973" s="8" t="str">
        <f t="shared" ref="K973:K1010" si="63">IF(E973="매출",H973+I973,"")</f>
        <v/>
      </c>
    </row>
    <row r="974" spans="2:11" hidden="1">
      <c r="B974" s="7">
        <v>41595</v>
      </c>
      <c r="C974" s="3" t="s">
        <v>37</v>
      </c>
      <c r="D974" s="6" t="s">
        <v>14</v>
      </c>
      <c r="E974" s="3" t="s">
        <v>1</v>
      </c>
      <c r="F974" s="5">
        <v>48</v>
      </c>
      <c r="G974" s="5">
        <v>4450</v>
      </c>
      <c r="H974" s="8">
        <f t="shared" si="60"/>
        <v>213600</v>
      </c>
      <c r="I974" s="8">
        <f t="shared" si="61"/>
        <v>21360</v>
      </c>
      <c r="J974" s="8">
        <f t="shared" si="62"/>
        <v>234960</v>
      </c>
      <c r="K974" s="8" t="str">
        <f t="shared" si="63"/>
        <v/>
      </c>
    </row>
    <row r="975" spans="2:11" hidden="1">
      <c r="B975" s="7">
        <v>41595</v>
      </c>
      <c r="C975" s="3" t="s">
        <v>38</v>
      </c>
      <c r="D975" s="6" t="s">
        <v>26</v>
      </c>
      <c r="E975" s="3" t="s">
        <v>0</v>
      </c>
      <c r="F975" s="5">
        <v>20</v>
      </c>
      <c r="G975" s="5">
        <v>3650</v>
      </c>
      <c r="H975" s="8">
        <f t="shared" si="60"/>
        <v>73000</v>
      </c>
      <c r="I975" s="8">
        <f t="shared" si="61"/>
        <v>7300</v>
      </c>
      <c r="J975" s="8">
        <f t="shared" si="62"/>
        <v>80300</v>
      </c>
      <c r="K975" s="8" t="str">
        <f t="shared" si="63"/>
        <v/>
      </c>
    </row>
    <row r="976" spans="2:11" hidden="1">
      <c r="B976" s="7">
        <v>41595</v>
      </c>
      <c r="C976" s="3" t="s">
        <v>39</v>
      </c>
      <c r="D976" s="6" t="s">
        <v>26</v>
      </c>
      <c r="E976" s="3" t="s">
        <v>0</v>
      </c>
      <c r="F976" s="5">
        <v>50</v>
      </c>
      <c r="G976" s="5">
        <v>4690</v>
      </c>
      <c r="H976" s="8">
        <f t="shared" si="60"/>
        <v>234500</v>
      </c>
      <c r="I976" s="8">
        <f t="shared" si="61"/>
        <v>23450</v>
      </c>
      <c r="J976" s="8">
        <f t="shared" si="62"/>
        <v>257950</v>
      </c>
      <c r="K976" s="8" t="str">
        <f t="shared" si="63"/>
        <v/>
      </c>
    </row>
    <row r="977" spans="2:11" hidden="1">
      <c r="B977" s="7">
        <v>41596</v>
      </c>
      <c r="C977" s="3" t="s">
        <v>44</v>
      </c>
      <c r="D977" s="6" t="s">
        <v>14</v>
      </c>
      <c r="E977" s="3" t="s">
        <v>12</v>
      </c>
      <c r="F977" s="5">
        <v>15</v>
      </c>
      <c r="G977" s="5">
        <v>3290</v>
      </c>
      <c r="H977" s="8">
        <f t="shared" si="60"/>
        <v>49350</v>
      </c>
      <c r="I977" s="8">
        <f t="shared" si="61"/>
        <v>4930</v>
      </c>
      <c r="J977" s="8" t="str">
        <f t="shared" si="62"/>
        <v/>
      </c>
      <c r="K977" s="8">
        <f t="shared" si="63"/>
        <v>54280</v>
      </c>
    </row>
    <row r="978" spans="2:11" hidden="1">
      <c r="B978" s="7">
        <v>41596</v>
      </c>
      <c r="C978" s="3" t="s">
        <v>44</v>
      </c>
      <c r="D978" s="6" t="s">
        <v>20</v>
      </c>
      <c r="E978" s="3" t="s">
        <v>12</v>
      </c>
      <c r="F978" s="5">
        <v>14</v>
      </c>
      <c r="G978" s="5">
        <v>7310</v>
      </c>
      <c r="H978" s="8">
        <f t="shared" si="60"/>
        <v>102340</v>
      </c>
      <c r="I978" s="8">
        <f t="shared" si="61"/>
        <v>10230</v>
      </c>
      <c r="J978" s="8" t="str">
        <f t="shared" si="62"/>
        <v/>
      </c>
      <c r="K978" s="8">
        <f t="shared" si="63"/>
        <v>112570</v>
      </c>
    </row>
    <row r="979" spans="2:11" hidden="1">
      <c r="B979" s="7">
        <v>41596</v>
      </c>
      <c r="C979" s="3" t="s">
        <v>42</v>
      </c>
      <c r="D979" s="6" t="s">
        <v>13</v>
      </c>
      <c r="E979" s="3" t="s">
        <v>12</v>
      </c>
      <c r="F979" s="5">
        <v>12</v>
      </c>
      <c r="G979" s="5">
        <v>10260</v>
      </c>
      <c r="H979" s="8">
        <f t="shared" si="60"/>
        <v>123120</v>
      </c>
      <c r="I979" s="8">
        <f t="shared" si="61"/>
        <v>12310</v>
      </c>
      <c r="J979" s="8" t="str">
        <f t="shared" si="62"/>
        <v/>
      </c>
      <c r="K979" s="8">
        <f t="shared" si="63"/>
        <v>135430</v>
      </c>
    </row>
    <row r="980" spans="2:11" hidden="1">
      <c r="B980" s="7">
        <v>41597</v>
      </c>
      <c r="C980" s="3" t="s">
        <v>44</v>
      </c>
      <c r="D980" s="6" t="s">
        <v>26</v>
      </c>
      <c r="E980" s="3" t="s">
        <v>12</v>
      </c>
      <c r="F980" s="5">
        <v>34</v>
      </c>
      <c r="G980" s="5">
        <v>9460</v>
      </c>
      <c r="H980" s="8">
        <f t="shared" si="60"/>
        <v>321640</v>
      </c>
      <c r="I980" s="8">
        <f t="shared" si="61"/>
        <v>32160</v>
      </c>
      <c r="J980" s="8" t="str">
        <f t="shared" si="62"/>
        <v/>
      </c>
      <c r="K980" s="8">
        <f t="shared" si="63"/>
        <v>353800</v>
      </c>
    </row>
    <row r="981" spans="2:11" hidden="1">
      <c r="B981" s="7">
        <v>41597</v>
      </c>
      <c r="C981" s="3" t="s">
        <v>36</v>
      </c>
      <c r="D981" s="6" t="s">
        <v>25</v>
      </c>
      <c r="E981" s="3" t="s">
        <v>12</v>
      </c>
      <c r="F981" s="5">
        <v>7</v>
      </c>
      <c r="G981" s="5">
        <v>12050</v>
      </c>
      <c r="H981" s="8">
        <f t="shared" si="60"/>
        <v>84350</v>
      </c>
      <c r="I981" s="8">
        <f t="shared" si="61"/>
        <v>8430</v>
      </c>
      <c r="J981" s="8" t="str">
        <f t="shared" si="62"/>
        <v/>
      </c>
      <c r="K981" s="8">
        <f t="shared" si="63"/>
        <v>92780</v>
      </c>
    </row>
    <row r="982" spans="2:11" hidden="1">
      <c r="B982" s="7">
        <v>41597</v>
      </c>
      <c r="C982" s="3" t="s">
        <v>36</v>
      </c>
      <c r="D982" s="6" t="s">
        <v>16</v>
      </c>
      <c r="E982" s="3" t="s">
        <v>0</v>
      </c>
      <c r="F982" s="5">
        <v>17</v>
      </c>
      <c r="G982" s="5">
        <v>5210</v>
      </c>
      <c r="H982" s="8">
        <f t="shared" si="60"/>
        <v>88570</v>
      </c>
      <c r="I982" s="8">
        <f t="shared" si="61"/>
        <v>8850</v>
      </c>
      <c r="J982" s="8">
        <f t="shared" si="62"/>
        <v>97420</v>
      </c>
      <c r="K982" s="8" t="str">
        <f t="shared" si="63"/>
        <v/>
      </c>
    </row>
    <row r="983" spans="2:11" hidden="1">
      <c r="B983" s="7">
        <v>41598</v>
      </c>
      <c r="C983" s="3" t="s">
        <v>37</v>
      </c>
      <c r="D983" s="6" t="s">
        <v>13</v>
      </c>
      <c r="E983" s="3" t="s">
        <v>1</v>
      </c>
      <c r="F983" s="5">
        <v>40</v>
      </c>
      <c r="G983" s="5">
        <v>10260</v>
      </c>
      <c r="H983" s="8">
        <f t="shared" si="60"/>
        <v>410400</v>
      </c>
      <c r="I983" s="8">
        <f t="shared" si="61"/>
        <v>41040</v>
      </c>
      <c r="J983" s="8">
        <f t="shared" si="62"/>
        <v>451440</v>
      </c>
      <c r="K983" s="8" t="str">
        <f t="shared" si="63"/>
        <v/>
      </c>
    </row>
    <row r="984" spans="2:11" hidden="1">
      <c r="B984" s="7">
        <v>41598</v>
      </c>
      <c r="C984" s="3" t="s">
        <v>36</v>
      </c>
      <c r="D984" s="6" t="s">
        <v>28</v>
      </c>
      <c r="E984" s="3" t="s">
        <v>1</v>
      </c>
      <c r="F984" s="5">
        <v>45</v>
      </c>
      <c r="G984" s="5">
        <v>12790</v>
      </c>
      <c r="H984" s="8">
        <f t="shared" si="60"/>
        <v>575550</v>
      </c>
      <c r="I984" s="8">
        <f t="shared" si="61"/>
        <v>57550</v>
      </c>
      <c r="J984" s="8">
        <f t="shared" si="62"/>
        <v>633100</v>
      </c>
      <c r="K984" s="8" t="str">
        <f t="shared" si="63"/>
        <v/>
      </c>
    </row>
    <row r="985" spans="2:11" hidden="1">
      <c r="B985" s="7">
        <v>41598</v>
      </c>
      <c r="C985" s="3" t="s">
        <v>45</v>
      </c>
      <c r="D985" s="6" t="s">
        <v>22</v>
      </c>
      <c r="E985" s="3" t="s">
        <v>0</v>
      </c>
      <c r="F985" s="5">
        <v>5</v>
      </c>
      <c r="G985" s="5">
        <v>3440</v>
      </c>
      <c r="H985" s="8">
        <f t="shared" si="60"/>
        <v>17200</v>
      </c>
      <c r="I985" s="8">
        <f t="shared" si="61"/>
        <v>1720</v>
      </c>
      <c r="J985" s="8">
        <f t="shared" si="62"/>
        <v>18920</v>
      </c>
      <c r="K985" s="8" t="str">
        <f t="shared" si="63"/>
        <v/>
      </c>
    </row>
    <row r="986" spans="2:11" hidden="1">
      <c r="B986" s="7">
        <v>41599</v>
      </c>
      <c r="C986" s="3" t="s">
        <v>39</v>
      </c>
      <c r="D986" s="6" t="s">
        <v>13</v>
      </c>
      <c r="E986" s="3" t="s">
        <v>12</v>
      </c>
      <c r="F986" s="5">
        <v>40</v>
      </c>
      <c r="G986" s="5">
        <v>8520</v>
      </c>
      <c r="H986" s="8">
        <f t="shared" si="60"/>
        <v>340800</v>
      </c>
      <c r="I986" s="8">
        <f t="shared" si="61"/>
        <v>34080</v>
      </c>
      <c r="J986" s="8" t="str">
        <f t="shared" si="62"/>
        <v/>
      </c>
      <c r="K986" s="8">
        <f t="shared" si="63"/>
        <v>374880</v>
      </c>
    </row>
    <row r="987" spans="2:11" hidden="1">
      <c r="B987" s="7">
        <v>41599</v>
      </c>
      <c r="C987" s="3" t="s">
        <v>40</v>
      </c>
      <c r="D987" s="6" t="s">
        <v>21</v>
      </c>
      <c r="E987" s="3" t="s">
        <v>12</v>
      </c>
      <c r="F987" s="5">
        <v>18</v>
      </c>
      <c r="G987" s="5">
        <v>8950</v>
      </c>
      <c r="H987" s="8">
        <f t="shared" si="60"/>
        <v>161100</v>
      </c>
      <c r="I987" s="8">
        <f t="shared" si="61"/>
        <v>16110</v>
      </c>
      <c r="J987" s="8" t="str">
        <f t="shared" si="62"/>
        <v/>
      </c>
      <c r="K987" s="8">
        <f t="shared" si="63"/>
        <v>177210</v>
      </c>
    </row>
    <row r="988" spans="2:11" hidden="1">
      <c r="B988" s="7">
        <v>41600</v>
      </c>
      <c r="C988" s="3" t="s">
        <v>36</v>
      </c>
      <c r="D988" s="6" t="s">
        <v>27</v>
      </c>
      <c r="E988" s="3" t="s">
        <v>0</v>
      </c>
      <c r="F988" s="5">
        <v>28</v>
      </c>
      <c r="G988" s="5">
        <v>5070</v>
      </c>
      <c r="H988" s="8">
        <f t="shared" si="60"/>
        <v>141960</v>
      </c>
      <c r="I988" s="8">
        <f t="shared" si="61"/>
        <v>14190</v>
      </c>
      <c r="J988" s="8">
        <f t="shared" si="62"/>
        <v>156150</v>
      </c>
      <c r="K988" s="8" t="str">
        <f t="shared" si="63"/>
        <v/>
      </c>
    </row>
    <row r="989" spans="2:11" hidden="1">
      <c r="B989" s="7">
        <v>41601</v>
      </c>
      <c r="C989" s="3" t="s">
        <v>41</v>
      </c>
      <c r="D989" s="6" t="s">
        <v>14</v>
      </c>
      <c r="E989" s="3" t="s">
        <v>0</v>
      </c>
      <c r="F989" s="5">
        <v>37</v>
      </c>
      <c r="G989" s="5">
        <v>2610</v>
      </c>
      <c r="H989" s="8">
        <f t="shared" si="60"/>
        <v>96570</v>
      </c>
      <c r="I989" s="8">
        <f t="shared" si="61"/>
        <v>9650</v>
      </c>
      <c r="J989" s="8">
        <f t="shared" si="62"/>
        <v>106220</v>
      </c>
      <c r="K989" s="8" t="str">
        <f t="shared" si="63"/>
        <v/>
      </c>
    </row>
    <row r="990" spans="2:11" hidden="1">
      <c r="B990" s="7">
        <v>41601</v>
      </c>
      <c r="C990" s="3" t="s">
        <v>38</v>
      </c>
      <c r="D990" s="6" t="s">
        <v>27</v>
      </c>
      <c r="E990" s="3" t="s">
        <v>0</v>
      </c>
      <c r="F990" s="5">
        <v>25</v>
      </c>
      <c r="G990" s="5">
        <v>2560</v>
      </c>
      <c r="H990" s="8">
        <f t="shared" si="60"/>
        <v>64000</v>
      </c>
      <c r="I990" s="8">
        <f t="shared" si="61"/>
        <v>6400</v>
      </c>
      <c r="J990" s="8">
        <f t="shared" si="62"/>
        <v>70400</v>
      </c>
      <c r="K990" s="8" t="str">
        <f t="shared" si="63"/>
        <v/>
      </c>
    </row>
    <row r="991" spans="2:11" hidden="1">
      <c r="B991" s="7">
        <v>41601</v>
      </c>
      <c r="C991" s="3" t="s">
        <v>41</v>
      </c>
      <c r="D991" s="6" t="s">
        <v>16</v>
      </c>
      <c r="E991" s="3" t="s">
        <v>0</v>
      </c>
      <c r="F991" s="5">
        <v>40</v>
      </c>
      <c r="G991" s="5">
        <v>5810</v>
      </c>
      <c r="H991" s="8">
        <f t="shared" si="60"/>
        <v>232400</v>
      </c>
      <c r="I991" s="8">
        <f t="shared" si="61"/>
        <v>23240</v>
      </c>
      <c r="J991" s="8">
        <f t="shared" si="62"/>
        <v>255640</v>
      </c>
      <c r="K991" s="8" t="str">
        <f t="shared" si="63"/>
        <v/>
      </c>
    </row>
    <row r="992" spans="2:11" hidden="1">
      <c r="B992" s="7">
        <v>41602</v>
      </c>
      <c r="C992" s="3" t="s">
        <v>43</v>
      </c>
      <c r="D992" s="6" t="s">
        <v>14</v>
      </c>
      <c r="E992" s="3" t="s">
        <v>1</v>
      </c>
      <c r="F992" s="5">
        <v>39</v>
      </c>
      <c r="G992" s="5">
        <v>6100</v>
      </c>
      <c r="H992" s="8">
        <f t="shared" si="60"/>
        <v>237900</v>
      </c>
      <c r="I992" s="8">
        <f t="shared" si="61"/>
        <v>23790</v>
      </c>
      <c r="J992" s="8">
        <f t="shared" si="62"/>
        <v>261690</v>
      </c>
      <c r="K992" s="8" t="str">
        <f t="shared" si="63"/>
        <v/>
      </c>
    </row>
    <row r="993" spans="2:11" hidden="1">
      <c r="B993" s="7">
        <v>41602</v>
      </c>
      <c r="C993" s="3" t="s">
        <v>37</v>
      </c>
      <c r="D993" s="6" t="s">
        <v>24</v>
      </c>
      <c r="E993" s="3" t="s">
        <v>0</v>
      </c>
      <c r="F993" s="5">
        <v>23</v>
      </c>
      <c r="G993" s="5">
        <v>4020</v>
      </c>
      <c r="H993" s="8">
        <f t="shared" si="60"/>
        <v>92460</v>
      </c>
      <c r="I993" s="8">
        <f t="shared" si="61"/>
        <v>9240</v>
      </c>
      <c r="J993" s="8">
        <f t="shared" si="62"/>
        <v>101700</v>
      </c>
      <c r="K993" s="8" t="str">
        <f t="shared" si="63"/>
        <v/>
      </c>
    </row>
    <row r="994" spans="2:11" hidden="1">
      <c r="B994" s="7">
        <v>41603</v>
      </c>
      <c r="C994" s="3" t="s">
        <v>40</v>
      </c>
      <c r="D994" s="6" t="s">
        <v>14</v>
      </c>
      <c r="E994" s="3" t="s">
        <v>12</v>
      </c>
      <c r="F994" s="5">
        <v>27</v>
      </c>
      <c r="G994" s="5">
        <v>3190</v>
      </c>
      <c r="H994" s="8">
        <f t="shared" si="60"/>
        <v>86130</v>
      </c>
      <c r="I994" s="8">
        <f t="shared" si="61"/>
        <v>8610</v>
      </c>
      <c r="J994" s="8" t="str">
        <f t="shared" si="62"/>
        <v/>
      </c>
      <c r="K994" s="8">
        <f t="shared" si="63"/>
        <v>94740</v>
      </c>
    </row>
    <row r="995" spans="2:11" hidden="1">
      <c r="B995" s="7">
        <v>41603</v>
      </c>
      <c r="C995" s="3" t="s">
        <v>37</v>
      </c>
      <c r="D995" s="6" t="s">
        <v>16</v>
      </c>
      <c r="E995" s="3" t="s">
        <v>12</v>
      </c>
      <c r="F995" s="5">
        <v>30</v>
      </c>
      <c r="G995" s="5">
        <v>11300</v>
      </c>
      <c r="H995" s="8">
        <f t="shared" si="60"/>
        <v>339000</v>
      </c>
      <c r="I995" s="8">
        <f t="shared" si="61"/>
        <v>33900</v>
      </c>
      <c r="J995" s="8" t="str">
        <f t="shared" si="62"/>
        <v/>
      </c>
      <c r="K995" s="8">
        <f t="shared" si="63"/>
        <v>372900</v>
      </c>
    </row>
    <row r="996" spans="2:11" hidden="1">
      <c r="B996" s="7">
        <v>41603</v>
      </c>
      <c r="C996" s="3" t="s">
        <v>38</v>
      </c>
      <c r="D996" s="6" t="s">
        <v>24</v>
      </c>
      <c r="E996" s="3" t="s">
        <v>0</v>
      </c>
      <c r="F996" s="5">
        <v>22</v>
      </c>
      <c r="G996" s="5">
        <v>4940</v>
      </c>
      <c r="H996" s="8">
        <f t="shared" si="60"/>
        <v>108680</v>
      </c>
      <c r="I996" s="8">
        <f t="shared" si="61"/>
        <v>10860</v>
      </c>
      <c r="J996" s="8">
        <f t="shared" si="62"/>
        <v>119540</v>
      </c>
      <c r="K996" s="8" t="str">
        <f t="shared" si="63"/>
        <v/>
      </c>
    </row>
    <row r="997" spans="2:11" hidden="1">
      <c r="B997" s="7">
        <v>41604</v>
      </c>
      <c r="C997" s="3" t="s">
        <v>40</v>
      </c>
      <c r="D997" s="6" t="s">
        <v>11</v>
      </c>
      <c r="E997" s="3" t="s">
        <v>12</v>
      </c>
      <c r="F997" s="5">
        <v>16</v>
      </c>
      <c r="G997" s="5">
        <v>8580</v>
      </c>
      <c r="H997" s="8">
        <f t="shared" si="60"/>
        <v>137280</v>
      </c>
      <c r="I997" s="8">
        <f t="shared" si="61"/>
        <v>13720</v>
      </c>
      <c r="J997" s="8" t="str">
        <f t="shared" si="62"/>
        <v/>
      </c>
      <c r="K997" s="8">
        <f t="shared" si="63"/>
        <v>151000</v>
      </c>
    </row>
    <row r="998" spans="2:11" hidden="1">
      <c r="B998" s="7">
        <v>41604</v>
      </c>
      <c r="C998" s="3" t="s">
        <v>39</v>
      </c>
      <c r="D998" s="6" t="s">
        <v>21</v>
      </c>
      <c r="E998" s="3" t="s">
        <v>12</v>
      </c>
      <c r="F998" s="5">
        <v>27</v>
      </c>
      <c r="G998" s="5">
        <v>8580</v>
      </c>
      <c r="H998" s="8">
        <f t="shared" si="60"/>
        <v>231660</v>
      </c>
      <c r="I998" s="8">
        <f t="shared" si="61"/>
        <v>23160</v>
      </c>
      <c r="J998" s="8" t="str">
        <f t="shared" si="62"/>
        <v/>
      </c>
      <c r="K998" s="8">
        <f t="shared" si="63"/>
        <v>254820</v>
      </c>
    </row>
    <row r="999" spans="2:11" hidden="1">
      <c r="B999" s="7">
        <v>41604</v>
      </c>
      <c r="C999" s="3" t="s">
        <v>38</v>
      </c>
      <c r="D999" s="6" t="s">
        <v>15</v>
      </c>
      <c r="E999" s="3" t="s">
        <v>1</v>
      </c>
      <c r="F999" s="5">
        <v>25</v>
      </c>
      <c r="G999" s="5">
        <v>9080</v>
      </c>
      <c r="H999" s="8">
        <f t="shared" si="60"/>
        <v>227000</v>
      </c>
      <c r="I999" s="8">
        <f t="shared" si="61"/>
        <v>22700</v>
      </c>
      <c r="J999" s="8">
        <f t="shared" si="62"/>
        <v>249700</v>
      </c>
      <c r="K999" s="8" t="str">
        <f t="shared" si="63"/>
        <v/>
      </c>
    </row>
    <row r="1000" spans="2:11" hidden="1">
      <c r="B1000" s="7">
        <v>41604</v>
      </c>
      <c r="C1000" s="3" t="s">
        <v>37</v>
      </c>
      <c r="D1000" s="6" t="s">
        <v>28</v>
      </c>
      <c r="E1000" s="3" t="s">
        <v>12</v>
      </c>
      <c r="F1000" s="5">
        <v>14</v>
      </c>
      <c r="G1000" s="5">
        <v>11300</v>
      </c>
      <c r="H1000" s="8">
        <f t="shared" si="60"/>
        <v>158200</v>
      </c>
      <c r="I1000" s="8">
        <f t="shared" si="61"/>
        <v>15820</v>
      </c>
      <c r="J1000" s="8" t="str">
        <f t="shared" si="62"/>
        <v/>
      </c>
      <c r="K1000" s="8">
        <f t="shared" si="63"/>
        <v>174020</v>
      </c>
    </row>
    <row r="1001" spans="2:11" hidden="1">
      <c r="B1001" s="7">
        <v>41604</v>
      </c>
      <c r="C1001" s="3" t="s">
        <v>40</v>
      </c>
      <c r="D1001" s="6" t="s">
        <v>18</v>
      </c>
      <c r="E1001" s="3" t="s">
        <v>0</v>
      </c>
      <c r="F1001" s="5">
        <v>35</v>
      </c>
      <c r="G1001" s="5">
        <v>3200</v>
      </c>
      <c r="H1001" s="8">
        <f t="shared" si="60"/>
        <v>112000</v>
      </c>
      <c r="I1001" s="8">
        <f t="shared" si="61"/>
        <v>11200</v>
      </c>
      <c r="J1001" s="8">
        <f t="shared" si="62"/>
        <v>123200</v>
      </c>
      <c r="K1001" s="8" t="str">
        <f t="shared" si="63"/>
        <v/>
      </c>
    </row>
    <row r="1002" spans="2:11" hidden="1">
      <c r="B1002" s="7">
        <v>41605</v>
      </c>
      <c r="C1002" s="3" t="s">
        <v>37</v>
      </c>
      <c r="D1002" s="6" t="s">
        <v>11</v>
      </c>
      <c r="E1002" s="3" t="s">
        <v>12</v>
      </c>
      <c r="F1002" s="5">
        <v>9</v>
      </c>
      <c r="G1002" s="5">
        <v>5940</v>
      </c>
      <c r="H1002" s="8">
        <f t="shared" si="60"/>
        <v>53460</v>
      </c>
      <c r="I1002" s="8">
        <f t="shared" si="61"/>
        <v>5340</v>
      </c>
      <c r="J1002" s="8" t="str">
        <f t="shared" si="62"/>
        <v/>
      </c>
      <c r="K1002" s="8">
        <f t="shared" si="63"/>
        <v>58800</v>
      </c>
    </row>
    <row r="1003" spans="2:11" hidden="1">
      <c r="B1003" s="7">
        <v>41605</v>
      </c>
      <c r="C1003" s="3" t="s">
        <v>40</v>
      </c>
      <c r="D1003" s="6" t="s">
        <v>13</v>
      </c>
      <c r="E1003" s="3" t="s">
        <v>12</v>
      </c>
      <c r="F1003" s="5">
        <v>13</v>
      </c>
      <c r="G1003" s="5">
        <v>7310</v>
      </c>
      <c r="H1003" s="8">
        <f t="shared" si="60"/>
        <v>95030</v>
      </c>
      <c r="I1003" s="8">
        <f t="shared" si="61"/>
        <v>9500</v>
      </c>
      <c r="J1003" s="8" t="str">
        <f t="shared" si="62"/>
        <v/>
      </c>
      <c r="K1003" s="8">
        <f t="shared" si="63"/>
        <v>104530</v>
      </c>
    </row>
    <row r="1004" spans="2:11" hidden="1">
      <c r="B1004" s="7">
        <v>41605</v>
      </c>
      <c r="C1004" s="3" t="s">
        <v>41</v>
      </c>
      <c r="D1004" s="6" t="s">
        <v>20</v>
      </c>
      <c r="E1004" s="3" t="s">
        <v>12</v>
      </c>
      <c r="F1004" s="5">
        <v>7</v>
      </c>
      <c r="G1004" s="5">
        <v>8520</v>
      </c>
      <c r="H1004" s="8">
        <f t="shared" si="60"/>
        <v>59640</v>
      </c>
      <c r="I1004" s="8">
        <f t="shared" si="61"/>
        <v>5960</v>
      </c>
      <c r="J1004" s="8" t="str">
        <f t="shared" si="62"/>
        <v/>
      </c>
      <c r="K1004" s="8">
        <f t="shared" si="63"/>
        <v>65600</v>
      </c>
    </row>
    <row r="1005" spans="2:11" hidden="1">
      <c r="B1005" s="7">
        <v>41606</v>
      </c>
      <c r="C1005" s="3" t="s">
        <v>43</v>
      </c>
      <c r="D1005" s="6" t="s">
        <v>24</v>
      </c>
      <c r="E1005" s="3" t="s">
        <v>0</v>
      </c>
      <c r="F1005" s="5">
        <v>15</v>
      </c>
      <c r="G1005" s="5">
        <v>3770</v>
      </c>
      <c r="H1005" s="8">
        <f t="shared" si="60"/>
        <v>56550</v>
      </c>
      <c r="I1005" s="8">
        <f t="shared" si="61"/>
        <v>5650</v>
      </c>
      <c r="J1005" s="8">
        <f t="shared" si="62"/>
        <v>62200</v>
      </c>
      <c r="K1005" s="8" t="str">
        <f t="shared" si="63"/>
        <v/>
      </c>
    </row>
    <row r="1006" spans="2:11" hidden="1">
      <c r="B1006" s="7">
        <v>41606</v>
      </c>
      <c r="C1006" s="3" t="s">
        <v>40</v>
      </c>
      <c r="D1006" s="6" t="s">
        <v>18</v>
      </c>
      <c r="E1006" s="3" t="s">
        <v>0</v>
      </c>
      <c r="F1006" s="5">
        <v>6</v>
      </c>
      <c r="G1006" s="5">
        <v>2090</v>
      </c>
      <c r="H1006" s="8">
        <f t="shared" si="60"/>
        <v>12540</v>
      </c>
      <c r="I1006" s="8">
        <f t="shared" si="61"/>
        <v>1250</v>
      </c>
      <c r="J1006" s="8">
        <f t="shared" si="62"/>
        <v>13790</v>
      </c>
      <c r="K1006" s="8" t="str">
        <f t="shared" si="63"/>
        <v/>
      </c>
    </row>
    <row r="1007" spans="2:11" hidden="1">
      <c r="B1007" s="7">
        <v>41606</v>
      </c>
      <c r="C1007" s="3" t="s">
        <v>38</v>
      </c>
      <c r="D1007" s="6" t="s">
        <v>17</v>
      </c>
      <c r="E1007" s="3" t="s">
        <v>0</v>
      </c>
      <c r="F1007" s="5">
        <v>13</v>
      </c>
      <c r="G1007" s="5">
        <v>13920</v>
      </c>
      <c r="H1007" s="8">
        <f t="shared" si="60"/>
        <v>180960</v>
      </c>
      <c r="I1007" s="8">
        <f t="shared" si="61"/>
        <v>18090</v>
      </c>
      <c r="J1007" s="8">
        <f t="shared" si="62"/>
        <v>199050</v>
      </c>
      <c r="K1007" s="8" t="str">
        <f t="shared" si="63"/>
        <v/>
      </c>
    </row>
    <row r="1008" spans="2:11" hidden="1">
      <c r="B1008" s="7">
        <v>41607</v>
      </c>
      <c r="C1008" s="3" t="s">
        <v>39</v>
      </c>
      <c r="D1008" s="6" t="s">
        <v>15</v>
      </c>
      <c r="E1008" s="3" t="s">
        <v>12</v>
      </c>
      <c r="F1008" s="5">
        <v>29</v>
      </c>
      <c r="G1008" s="5">
        <v>8200</v>
      </c>
      <c r="H1008" s="8">
        <f t="shared" si="60"/>
        <v>237800</v>
      </c>
      <c r="I1008" s="8">
        <f t="shared" si="61"/>
        <v>23780</v>
      </c>
      <c r="J1008" s="8" t="str">
        <f t="shared" si="62"/>
        <v/>
      </c>
      <c r="K1008" s="8">
        <f t="shared" si="63"/>
        <v>261580</v>
      </c>
    </row>
    <row r="1009" spans="2:11" hidden="1">
      <c r="B1009" s="7">
        <v>41608</v>
      </c>
      <c r="C1009" s="3" t="s">
        <v>37</v>
      </c>
      <c r="D1009" s="6" t="s">
        <v>24</v>
      </c>
      <c r="E1009" s="3" t="s">
        <v>0</v>
      </c>
      <c r="F1009" s="5">
        <v>23</v>
      </c>
      <c r="G1009" s="5">
        <v>4020</v>
      </c>
      <c r="H1009" s="8">
        <f t="shared" si="60"/>
        <v>92460</v>
      </c>
      <c r="I1009" s="8">
        <f t="shared" si="61"/>
        <v>9240</v>
      </c>
      <c r="J1009" s="8">
        <f t="shared" si="62"/>
        <v>101700</v>
      </c>
      <c r="K1009" s="8" t="str">
        <f t="shared" si="63"/>
        <v/>
      </c>
    </row>
    <row r="1010" spans="2:11" hidden="1">
      <c r="B1010" s="7">
        <v>41609</v>
      </c>
      <c r="C1010" s="3" t="s">
        <v>40</v>
      </c>
      <c r="D1010" s="6" t="s">
        <v>14</v>
      </c>
      <c r="E1010" s="3" t="s">
        <v>12</v>
      </c>
      <c r="F1010" s="5">
        <v>27</v>
      </c>
      <c r="G1010" s="5">
        <v>3190</v>
      </c>
      <c r="H1010" s="8">
        <f t="shared" si="60"/>
        <v>86130</v>
      </c>
      <c r="I1010" s="8">
        <f t="shared" si="61"/>
        <v>8610</v>
      </c>
      <c r="J1010" s="8" t="str">
        <f t="shared" si="62"/>
        <v/>
      </c>
      <c r="K1010" s="8">
        <f t="shared" si="63"/>
        <v>94740</v>
      </c>
    </row>
    <row r="1011" spans="2:11" hidden="1">
      <c r="B1011" s="7"/>
      <c r="C1011" s="3"/>
      <c r="D1011" s="6"/>
      <c r="E1011" s="3"/>
      <c r="F1011" s="5"/>
      <c r="G1011" s="5"/>
      <c r="H1011" s="8">
        <f t="shared" ref="H1011:H1020" si="64">F1011*G1011</f>
        <v>0</v>
      </c>
      <c r="I1011" s="8">
        <f t="shared" si="61"/>
        <v>0</v>
      </c>
      <c r="J1011" s="8" t="str">
        <f t="shared" ref="J1011:J1020" si="65">IF(E1011="매입",H1011+I1011,"")</f>
        <v/>
      </c>
      <c r="K1011" s="8" t="str">
        <f t="shared" ref="K1011:K1020" si="66">IF(E1011="매출",H1011+I1011,"")</f>
        <v/>
      </c>
    </row>
    <row r="1012" spans="2:11" hidden="1">
      <c r="B1012" s="7"/>
      <c r="C1012" s="3"/>
      <c r="D1012" s="6"/>
      <c r="E1012" s="3"/>
      <c r="F1012" s="5"/>
      <c r="G1012" s="5"/>
      <c r="H1012" s="8">
        <f t="shared" si="64"/>
        <v>0</v>
      </c>
      <c r="I1012" s="8">
        <f t="shared" si="61"/>
        <v>0</v>
      </c>
      <c r="J1012" s="8" t="str">
        <f t="shared" si="65"/>
        <v/>
      </c>
      <c r="K1012" s="8" t="str">
        <f t="shared" si="66"/>
        <v/>
      </c>
    </row>
    <row r="1013" spans="2:11" hidden="1">
      <c r="B1013" s="7"/>
      <c r="C1013" s="3"/>
      <c r="D1013" s="6"/>
      <c r="E1013" s="3"/>
      <c r="F1013" s="5"/>
      <c r="G1013" s="5"/>
      <c r="H1013" s="8">
        <f t="shared" si="64"/>
        <v>0</v>
      </c>
      <c r="I1013" s="8">
        <f t="shared" si="61"/>
        <v>0</v>
      </c>
      <c r="J1013" s="8" t="str">
        <f t="shared" si="65"/>
        <v/>
      </c>
      <c r="K1013" s="8" t="str">
        <f t="shared" si="66"/>
        <v/>
      </c>
    </row>
    <row r="1014" spans="2:11" hidden="1">
      <c r="B1014" s="7"/>
      <c r="C1014" s="3"/>
      <c r="D1014" s="6"/>
      <c r="E1014" s="3"/>
      <c r="F1014" s="5"/>
      <c r="G1014" s="5"/>
      <c r="H1014" s="8">
        <f t="shared" si="64"/>
        <v>0</v>
      </c>
      <c r="I1014" s="8">
        <f t="shared" si="61"/>
        <v>0</v>
      </c>
      <c r="J1014" s="8" t="str">
        <f t="shared" si="65"/>
        <v/>
      </c>
      <c r="K1014" s="8" t="str">
        <f t="shared" si="66"/>
        <v/>
      </c>
    </row>
    <row r="1015" spans="2:11" hidden="1">
      <c r="B1015" s="7"/>
      <c r="C1015" s="3"/>
      <c r="D1015" s="6"/>
      <c r="E1015" s="3"/>
      <c r="F1015" s="5"/>
      <c r="G1015" s="5"/>
      <c r="H1015" s="8">
        <f t="shared" si="64"/>
        <v>0</v>
      </c>
      <c r="I1015" s="8">
        <f t="shared" si="61"/>
        <v>0</v>
      </c>
      <c r="J1015" s="8" t="str">
        <f t="shared" si="65"/>
        <v/>
      </c>
      <c r="K1015" s="8" t="str">
        <f t="shared" si="66"/>
        <v/>
      </c>
    </row>
    <row r="1016" spans="2:11" hidden="1">
      <c r="B1016" s="7"/>
      <c r="C1016" s="3"/>
      <c r="D1016" s="6"/>
      <c r="E1016" s="3"/>
      <c r="F1016" s="5"/>
      <c r="G1016" s="5"/>
      <c r="H1016" s="8">
        <f t="shared" si="64"/>
        <v>0</v>
      </c>
      <c r="I1016" s="8">
        <f t="shared" si="61"/>
        <v>0</v>
      </c>
      <c r="J1016" s="8" t="str">
        <f t="shared" si="65"/>
        <v/>
      </c>
      <c r="K1016" s="8" t="str">
        <f t="shared" si="66"/>
        <v/>
      </c>
    </row>
    <row r="1017" spans="2:11" hidden="1">
      <c r="B1017" s="7"/>
      <c r="C1017" s="3"/>
      <c r="D1017" s="6"/>
      <c r="E1017" s="3"/>
      <c r="F1017" s="5"/>
      <c r="G1017" s="5"/>
      <c r="H1017" s="8">
        <f t="shared" si="64"/>
        <v>0</v>
      </c>
      <c r="I1017" s="8">
        <f t="shared" si="61"/>
        <v>0</v>
      </c>
      <c r="J1017" s="8" t="str">
        <f t="shared" si="65"/>
        <v/>
      </c>
      <c r="K1017" s="8" t="str">
        <f t="shared" si="66"/>
        <v/>
      </c>
    </row>
    <row r="1018" spans="2:11" hidden="1">
      <c r="B1018" s="7"/>
      <c r="C1018" s="3"/>
      <c r="D1018" s="6"/>
      <c r="E1018" s="3"/>
      <c r="F1018" s="5"/>
      <c r="G1018" s="5"/>
      <c r="H1018" s="8">
        <f t="shared" si="64"/>
        <v>0</v>
      </c>
      <c r="I1018" s="8">
        <f t="shared" si="61"/>
        <v>0</v>
      </c>
      <c r="J1018" s="8" t="str">
        <f t="shared" si="65"/>
        <v/>
      </c>
      <c r="K1018" s="8" t="str">
        <f t="shared" si="66"/>
        <v/>
      </c>
    </row>
    <row r="1019" spans="2:11" hidden="1">
      <c r="B1019" s="7"/>
      <c r="C1019" s="3"/>
      <c r="D1019" s="6"/>
      <c r="E1019" s="3"/>
      <c r="F1019" s="5"/>
      <c r="G1019" s="5"/>
      <c r="H1019" s="8">
        <f t="shared" si="64"/>
        <v>0</v>
      </c>
      <c r="I1019" s="8">
        <f t="shared" si="61"/>
        <v>0</v>
      </c>
      <c r="J1019" s="8" t="str">
        <f t="shared" si="65"/>
        <v/>
      </c>
      <c r="K1019" s="8" t="str">
        <f t="shared" si="66"/>
        <v/>
      </c>
    </row>
    <row r="1020" spans="2:11" hidden="1">
      <c r="B1020" s="7"/>
      <c r="C1020" s="3"/>
      <c r="D1020" s="6"/>
      <c r="E1020" s="3"/>
      <c r="F1020" s="5"/>
      <c r="G1020" s="5"/>
      <c r="H1020" s="8">
        <f t="shared" si="64"/>
        <v>0</v>
      </c>
      <c r="I1020" s="8">
        <f t="shared" si="61"/>
        <v>0</v>
      </c>
      <c r="J1020" s="8" t="str">
        <f t="shared" si="65"/>
        <v/>
      </c>
      <c r="K1020" s="8" t="str">
        <f t="shared" si="66"/>
        <v/>
      </c>
    </row>
  </sheetData>
  <autoFilter ref="B11:K1020">
    <filterColumn colId="0">
      <dynamicFilter type="Q3"/>
    </filterColumn>
    <filterColumn colId="3">
      <filters>
        <filter val="매출"/>
      </filters>
    </filterColumn>
  </autoFilter>
  <sortState ref="B11:K1007">
    <sortCondition ref="B11"/>
  </sortState>
  <mergeCells count="9">
    <mergeCell ref="B7:C7"/>
    <mergeCell ref="D7:F7"/>
    <mergeCell ref="B9:C9"/>
    <mergeCell ref="D9:F9"/>
    <mergeCell ref="B2:K2"/>
    <mergeCell ref="B5:G5"/>
    <mergeCell ref="I5:K5"/>
    <mergeCell ref="I4:J4"/>
    <mergeCell ref="B4:D4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필터링1">
                <anchor moveWithCells="1">
                  <from>
                    <xdr:col>1</xdr:col>
                    <xdr:colOff>161925</xdr:colOff>
                    <xdr:row>4</xdr:row>
                    <xdr:rowOff>85725</xdr:rowOff>
                  </from>
                  <to>
                    <xdr:col>2</xdr:col>
                    <xdr:colOff>114300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필터링1">
                <anchor moveWithCells="1">
                  <from>
                    <xdr:col>2</xdr:col>
                    <xdr:colOff>200025</xdr:colOff>
                    <xdr:row>4</xdr:row>
                    <xdr:rowOff>85725</xdr:rowOff>
                  </from>
                  <to>
                    <xdr:col>3</xdr:col>
                    <xdr:colOff>257175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필터링1">
                <anchor moveWithCells="1">
                  <from>
                    <xdr:col>3</xdr:col>
                    <xdr:colOff>352425</xdr:colOff>
                    <xdr:row>4</xdr:row>
                    <xdr:rowOff>85725</xdr:rowOff>
                  </from>
                  <to>
                    <xdr:col>3</xdr:col>
                    <xdr:colOff>923925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필터링1">
                <anchor moveWithCells="1">
                  <from>
                    <xdr:col>4</xdr:col>
                    <xdr:colOff>28575</xdr:colOff>
                    <xdr:row>4</xdr:row>
                    <xdr:rowOff>85725</xdr:rowOff>
                  </from>
                  <to>
                    <xdr:col>5</xdr:col>
                    <xdr:colOff>219075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 macro="[0]!필터링1">
                <anchor mov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6</xdr:col>
                    <xdr:colOff>504825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Group Box 6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 macro="[0]!필터링2">
                <anchor moveWithCells="1">
                  <from>
                    <xdr:col>8</xdr:col>
                    <xdr:colOff>257175</xdr:colOff>
                    <xdr:row>4</xdr:row>
                    <xdr:rowOff>95250</xdr:rowOff>
                  </from>
                  <to>
                    <xdr:col>9</xdr:col>
                    <xdr:colOff>190500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8">
              <controlPr defaultSize="0" autoFill="0" autoLine="0" autoPict="0" macro="[0]!필터링2">
                <anchor moveWithCells="1">
                  <from>
                    <xdr:col>9</xdr:col>
                    <xdr:colOff>257175</xdr:colOff>
                    <xdr:row>4</xdr:row>
                    <xdr:rowOff>95250</xdr:rowOff>
                  </from>
                  <to>
                    <xdr:col>10</xdr:col>
                    <xdr:colOff>19050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9">
              <controlPr defaultSize="0" autoFill="0" autoLine="0" autoPict="0" macro="[0]!필터링2">
                <anchor moveWithCells="1">
                  <from>
                    <xdr:col>10</xdr:col>
                    <xdr:colOff>85725</xdr:colOff>
                    <xdr:row>4</xdr:row>
                    <xdr:rowOff>95250</xdr:rowOff>
                  </from>
                  <to>
                    <xdr:col>10</xdr:col>
                    <xdr:colOff>733425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Group Box 10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매입매출</vt:lpstr>
      <vt:lpstr>옵션1</vt:lpstr>
      <vt:lpstr>옵션2</vt:lpstr>
    </vt:vector>
  </TitlesOfParts>
  <Company>Dodream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dcterms:created xsi:type="dcterms:W3CDTF">2007-08-05T19:29:40Z</dcterms:created>
  <dcterms:modified xsi:type="dcterms:W3CDTF">2013-04-25T16:37:35Z</dcterms:modified>
</cp:coreProperties>
</file>